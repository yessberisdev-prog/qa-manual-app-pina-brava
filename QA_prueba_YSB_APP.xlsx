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Plan de Pruebas" sheetId="1" r:id="rId5"/>
    <sheet state="visible" name="2. Particiones Equivalentes" sheetId="2" r:id="rId6"/>
    <sheet state="visible" name="3. Tabla de Decisión" sheetId="3" r:id="rId7"/>
    <sheet state="visible" name="RF Casos Prueba" sheetId="4" r:id="rId8"/>
    <sheet state="visible" name="4. Matriz Casos de Prueba" sheetId="5" r:id="rId9"/>
    <sheet state="visible" name="5. Incidencias y Bugs" sheetId="6" r:id="rId10"/>
    <sheet state="visible" name="6. Reporte Cierre QA" sheetId="7" r:id="rId11"/>
  </sheets>
  <definedNames/>
  <calcPr/>
</workbook>
</file>

<file path=xl/sharedStrings.xml><?xml version="1.0" encoding="utf-8"?>
<sst xmlns="http://schemas.openxmlformats.org/spreadsheetml/2006/main" count="812" uniqueCount="458">
  <si>
    <t>Plan de Pruebas</t>
  </si>
  <si>
    <r>
      <rPr>
        <rFont val="Roboto"/>
        <b/>
        <color rgb="FF1F497D"/>
        <sz val="14.0"/>
      </rPr>
      <t xml:space="preserve">Caso de Prueba </t>
    </r>
    <r>
      <rPr>
        <rFont val="Roboto"/>
        <b/>
        <color rgb="FF003366"/>
        <sz val="14.0"/>
      </rPr>
      <t>(CP)</t>
    </r>
  </si>
  <si>
    <t>Plan de pruebas funcional ajustado para evaluación técnica y control del proyecto.</t>
  </si>
  <si>
    <r>
      <rPr>
        <rFont val="Roboto"/>
        <b/>
        <color rgb="FF1F497D"/>
        <sz val="11.0"/>
      </rPr>
      <t xml:space="preserve">Objetivo: </t>
    </r>
    <r>
      <rPr>
        <rFont val="Roboto"/>
        <b/>
        <color theme="1"/>
        <sz val="11.0"/>
      </rPr>
      <t xml:space="preserve">Validar flujos de </t>
    </r>
  </si>
  <si>
    <t>Información del Documento</t>
  </si>
  <si>
    <t>Plan de Pruebas Funcional - Aplicación Móvil La Piña Brava</t>
  </si>
  <si>
    <t>TABLA DE DECISIÓN</t>
  </si>
  <si>
    <t>PARTICIONES EQUIVALENTES Y ANÁLISIS DE VALORES LÍMITE</t>
  </si>
  <si>
    <r>
      <rPr>
        <rFont val="Roboto"/>
        <b/>
        <color rgb="FF1F497D"/>
        <sz val="11.0"/>
      </rPr>
      <t>Definido por: Yessica Sánchez Beristain</t>
    </r>
  </si>
  <si>
    <t>TP-2026-LPB01</t>
  </si>
  <si>
    <t>Fecha de definición: 11/09/2026</t>
  </si>
  <si>
    <r>
      <rPr>
        <rFont val="Roboto"/>
        <b/>
        <color rgb="FF1F497D"/>
        <sz val="11.0"/>
      </rPr>
      <t xml:space="preserve">Fase:   </t>
    </r>
    <r>
      <rPr>
        <rFont val="Roboto"/>
        <b/>
        <color theme="1"/>
        <sz val="11.0"/>
      </rPr>
      <t>Análisis, diseño y desarrollo</t>
    </r>
  </si>
  <si>
    <t>Condiciones / Reglas de Negocio</t>
  </si>
  <si>
    <r>
      <rPr>
        <rFont val="Roboto"/>
        <b/>
        <color rgb="FF1F497D"/>
        <sz val="11.0"/>
      </rPr>
      <t xml:space="preserve">Inter Dependencias CP: </t>
    </r>
    <r>
      <rPr>
        <rFont val="Roboto"/>
        <b/>
        <color theme="1"/>
        <sz val="11.0"/>
      </rPr>
      <t>N/A</t>
    </r>
  </si>
  <si>
    <t>Organización Emisora:</t>
  </si>
  <si>
    <t>Responsable:</t>
  </si>
  <si>
    <r>
      <rPr>
        <rFont val="Roboto"/>
        <b/>
        <color rgb="FF1F497D"/>
        <sz val="11.0"/>
      </rPr>
      <t>Plataforma(s):</t>
    </r>
  </si>
  <si>
    <t>Regla 1 (Éxito)</t>
  </si>
  <si>
    <t>Equipo de Aseguramiento de Calidad (QA)</t>
  </si>
  <si>
    <r>
      <rPr>
        <rFont val="Roboto"/>
        <b/>
        <color rgb="FF1F497D"/>
        <sz val="11.0"/>
      </rPr>
      <t xml:space="preserve">Preparación de Prueba (Prerequisitos):  </t>
    </r>
    <r>
      <rPr>
        <rFont val="Roboto"/>
        <b/>
        <color theme="1"/>
        <sz val="11.0"/>
      </rPr>
      <t>Ambiente en PRO</t>
    </r>
  </si>
  <si>
    <t>Regla 2 (Vacíos)</t>
  </si>
  <si>
    <t>Yessica Sánchez Beristain</t>
  </si>
  <si>
    <t>Regla 3 (Pass Inválida)</t>
  </si>
  <si>
    <t>Contexto de las Pruebas</t>
  </si>
  <si>
    <r>
      <rPr>
        <rFont val="Roboto"/>
        <b/>
        <color rgb="FF1F497D"/>
        <sz val="11.0"/>
      </rPr>
      <t xml:space="preserve">Fecha de Ejecución: </t>
    </r>
    <r>
      <rPr>
        <rFont val="Roboto"/>
        <b/>
        <color theme="1"/>
        <sz val="11.0"/>
      </rPr>
      <t>11/09/2026</t>
    </r>
  </si>
  <si>
    <t>Campo / Entidad</t>
  </si>
  <si>
    <t>Proyecto/Subproceso de Prueba:</t>
  </si>
  <si>
    <r>
      <rPr>
        <rFont val="Roboto"/>
        <b/>
        <color rgb="FF1F497D"/>
        <sz val="11.0"/>
      </rPr>
      <t xml:space="preserve">Ejecutado por: </t>
    </r>
    <r>
      <rPr>
        <rFont val="Roboto"/>
        <b/>
        <color theme="1"/>
        <sz val="11.0"/>
      </rPr>
      <t>Yessica Sánchez Beristain</t>
    </r>
  </si>
  <si>
    <t>Regla 4 (Term. No Acept.)</t>
  </si>
  <si>
    <r>
      <rPr>
        <rFont val="Roboto"/>
        <b/>
        <color rgb="FF1F497D"/>
        <sz val="11.0"/>
      </rPr>
      <t xml:space="preserve">Fecha de Validación:  </t>
    </r>
    <r>
      <rPr>
        <rFont val="Roboto"/>
        <b/>
        <color theme="1"/>
        <sz val="11.0"/>
      </rPr>
      <t>11/09/2026</t>
    </r>
  </si>
  <si>
    <t>Este plan de pruebas contempla la evaluación funcional de la nueva aplicación móvil de La Piña Brava. El análisis abarca la validación de la Historia de Usuario de Registro de usuarios, la exploración del catálogo de productos y la ejecución de flujos de navegación sobre la maqueta de Figma (búsqueda y carrito de compras).</t>
  </si>
  <si>
    <r>
      <rPr>
        <rFont val="Roboto"/>
        <b/>
        <color rgb="FF1F497D"/>
        <sz val="11.0"/>
      </rPr>
      <t>Validado por: Yessica Sánchez Beristain</t>
    </r>
  </si>
  <si>
    <t>Regla 5 (Correo Dup.)</t>
  </si>
  <si>
    <t>Clase de Entrada</t>
  </si>
  <si>
    <t>Rango / Condición Evaluada</t>
  </si>
  <si>
    <t>¿Campos obligatorios (Nombre, Correo, Contraseña) completos?</t>
  </si>
  <si>
    <t>Tipo de Partición</t>
  </si>
  <si>
    <t>RF / Módulo</t>
  </si>
  <si>
    <t>SI</t>
  </si>
  <si>
    <t>Valor de Prueba (Ejemplo)</t>
  </si>
  <si>
    <t>Nombre del Requerimiento</t>
  </si>
  <si>
    <t>Elementos a Probar:</t>
  </si>
  <si>
    <t>Descripción / Escenario Evaluado</t>
  </si>
  <si>
    <t>Total CP</t>
  </si>
  <si>
    <t>CP Exitosos</t>
  </si>
  <si>
    <t>Resultado Esperado</t>
  </si>
  <si>
    <t>CP Fallidos</t>
  </si>
  <si>
    <t>NO</t>
  </si>
  <si>
    <t>Estatus RF</t>
  </si>
  <si>
    <t>RF1</t>
  </si>
  <si>
    <t>Nombre(s)</t>
  </si>
  <si>
    <t>Crear Cuenta / Registro</t>
  </si>
  <si>
    <t>Validación de formulario de registro, campos obligatorios, reglas de contraseña (6-12 char, 1 mayús, 1 num), confirmación de contraseña, términos y condiciones y pop-up de bienvenida.</t>
  </si>
  <si>
    <t>Los elementos a probar incluyen:
• Creación de cuenta
• Inicio de sesión
• Cátalogo de productos y busqueda
• Carrito de compras</t>
  </si>
  <si>
    <t>¿Contraseña cumple complejidad (6-12 char, 1 mayús, 1 num)?</t>
  </si>
  <si>
    <t>Longitud Válida</t>
  </si>
  <si>
    <t>Entre 1 y 20 caracteres alfanuméricos</t>
  </si>
  <si>
    <t>Alcance de las Pruebas:</t>
  </si>
  <si>
    <t>El alcance comprende la ejecución de pruebas funcionales manuales, validación de reglas de negocio en formularios y detección de defectos en la interfaz sobre la maqueta interactiva. No se consideran en esta etapa pruebas automatizadas, pruebas de rendimiento ni estresamiento de la aplicación.</t>
  </si>
  <si>
    <t>¿Casilla de Términos y Condiciones marcada?</t>
  </si>
  <si>
    <t>Válida</t>
  </si>
  <si>
    <t>Juan Carlos</t>
  </si>
  <si>
    <t>Acepta valor y permite continuar</t>
  </si>
  <si>
    <t>¿Correo electrónico NO registrado previamente en BD?</t>
  </si>
  <si>
    <t>Longitud Excesiva</t>
  </si>
  <si>
    <t>Más de 20 caracteres alfanuméricos</t>
  </si>
  <si>
    <t>Inválida</t>
  </si>
  <si>
    <t>Juan Carlos Perez Gomez De La Rosa</t>
  </si>
  <si>
    <t>Falló</t>
  </si>
  <si>
    <t>Muestra mensaje de error: máximo 20 caracteres</t>
  </si>
  <si>
    <t>RF2</t>
  </si>
  <si>
    <t>Búsqueda de Productos</t>
  </si>
  <si>
    <t>Validación de barra de búsqueda por texto libre, búsquedas recientes y manejo de productos no encontrados.</t>
  </si>
  <si>
    <t>ACCIONES / RESULTADOS ESPERADOS (ENTONCES...)</t>
  </si>
  <si>
    <t>Campo Vacío</t>
  </si>
  <si>
    <t>Omitir el campo obligatorio</t>
  </si>
  <si>
    <t>[Vacío]</t>
  </si>
  <si>
    <t>Muestra en rojo 'Campo requerido'</t>
  </si>
  <si>
    <t>Correo electrónico</t>
  </si>
  <si>
    <t>Formato Válido</t>
  </si>
  <si>
    <t>Estructura correcta XXX@XXX.XXX</t>
  </si>
  <si>
    <t>Desplegar Pop-up '¡Bienvenido a la App de La Piña Brava!'</t>
  </si>
  <si>
    <t>carlos@test.com</t>
  </si>
  <si>
    <t>Acepta el correo y permite continuar</t>
  </si>
  <si>
    <t>Formato Inválido</t>
  </si>
  <si>
    <t>RF3</t>
  </si>
  <si>
    <t>Menú Lateral Hamburguesa</t>
  </si>
  <si>
    <t>Estructura sin @ ni dominio</t>
  </si>
  <si>
    <t>Validación de despliegue y cierre de menú lateral con opciones de perfil, direcciones y pagos.</t>
  </si>
  <si>
    <t>usuariodominio.com</t>
  </si>
  <si>
    <t>Mostrar alerta 'Campo requerido' en texto rojo</t>
  </si>
  <si>
    <t>Muestra alerta de estructura de correo inválida</t>
  </si>
  <si>
    <t>RF4</t>
  </si>
  <si>
    <t>Picantómetro</t>
  </si>
  <si>
    <t>Validación de filtro categórico por nivel de picante (Los peligrosos, Los bravos, Los normalillos, Los levecitos).</t>
  </si>
  <si>
    <t>Mostrar mensaje de error de formato de contraseña</t>
  </si>
  <si>
    <t>Mostrar mensaje 'El correo ya se encuentra registrado'</t>
  </si>
  <si>
    <t>Contraseña</t>
  </si>
  <si>
    <t>Longitud y Reglas Válidas</t>
  </si>
  <si>
    <t>6 a 12 char, 1 mayúscula, 1 número, sin símbolos</t>
  </si>
  <si>
    <t>Pina2026</t>
  </si>
  <si>
    <t>RF5</t>
  </si>
  <si>
    <t>Categorías de Productos</t>
  </si>
  <si>
    <t>Validación de la cuadrícula de categorías (Aciditos, Frutal, Gomitas, Botana, Salsa, Confitado) y vista de productos.</t>
  </si>
  <si>
    <t>Acepta la contraseña correctamente</t>
  </si>
  <si>
    <t>Longitud Menor a 6</t>
  </si>
  <si>
    <t>Menos de 6 caracteres (ej. 5)</t>
  </si>
  <si>
    <t>Pina2</t>
  </si>
  <si>
    <t>Error: longitud mínima de 6 caracteres</t>
  </si>
  <si>
    <t>RF6</t>
  </si>
  <si>
    <t>Detalle de Producto y Favoritos</t>
  </si>
  <si>
    <t>Validación de modal emergente de detalle de producto, congruencia de descripción/título e icono de corazón/favoritos.</t>
  </si>
  <si>
    <t>Longitud Mayor a 12</t>
  </si>
  <si>
    <t>Más de 12 caracteres (ej. 13)</t>
  </si>
  <si>
    <t>Pinabrava2026!</t>
  </si>
  <si>
    <t>Error: longitud máxima de 12 caracteres</t>
  </si>
  <si>
    <t>RF7</t>
  </si>
  <si>
    <t>Carrito de Compras</t>
  </si>
  <si>
    <t>Validación de desglose de precios, descuento 3x2, incremento de cantidad (+/-), productos sugeridos y redirección a login.</t>
  </si>
  <si>
    <t>Sin Mayúscula</t>
  </si>
  <si>
    <t>Texto en minúsculas con números</t>
  </si>
  <si>
    <t>pina2026</t>
  </si>
  <si>
    <t>Error: debe contener al menos una mayúscula</t>
  </si>
  <si>
    <t>RF8</t>
  </si>
  <si>
    <t>Dirección y Método de Pago</t>
  </si>
  <si>
    <t>Validación de selección de direcciones guardadas, tarjetas registradas, alta de nuevas direcciones/tarjetas y flujo de checkout.</t>
  </si>
  <si>
    <t>ID</t>
  </si>
  <si>
    <t>Sin Número</t>
  </si>
  <si>
    <t>RF</t>
  </si>
  <si>
    <t>Texto con mayúsculas sin números</t>
  </si>
  <si>
    <t>DADO</t>
  </si>
  <si>
    <t>CUANDO</t>
  </si>
  <si>
    <t>Pinabrava</t>
  </si>
  <si>
    <t>ENTONCES</t>
  </si>
  <si>
    <t>RESPONSABLE</t>
  </si>
  <si>
    <t>Error: debe contener al menos un número</t>
  </si>
  <si>
    <t>Estatus</t>
  </si>
  <si>
    <t>OBSERVACIONES</t>
  </si>
  <si>
    <t>Caracteres Especiales</t>
  </si>
  <si>
    <t>R1</t>
  </si>
  <si>
    <t>Incluye símbolos (!, #, $, %)</t>
  </si>
  <si>
    <t>Crear cuenta</t>
  </si>
  <si>
    <t>Pina2026!</t>
  </si>
  <si>
    <t>Error: solo acepta caracteres alfanuméricos</t>
  </si>
  <si>
    <t>Teléfono</t>
  </si>
  <si>
    <t>10 Dígitos Numéricos</t>
  </si>
  <si>
    <t>LPB-CP001</t>
  </si>
  <si>
    <t>Exactamente 10 números (opcional)</t>
  </si>
  <si>
    <t>Creación de cuenta</t>
  </si>
  <si>
    <t>Ingresar nombre, correo electronico, contraseña, telefono (opcional), aceptar terminos y condiciones.           Dar click en "Registarme"</t>
  </si>
  <si>
    <t>Recibir un pop-up con mensaje: "registro exitoso", ¡Bienvenido a la App de La Piña Brava!” y un botón de continuar.</t>
  </si>
  <si>
    <t>Acepta el teléfono correctamente</t>
  </si>
  <si>
    <t>Yessica</t>
  </si>
  <si>
    <t>Omitir el campo opcional</t>
  </si>
  <si>
    <t>LPB-CP002</t>
  </si>
  <si>
    <t>Permite el registro sin marcar error</t>
  </si>
  <si>
    <t>Barra de Búsqueda</t>
  </si>
  <si>
    <t>Recibir un pop-up con mensaje: "registro exitoso", ¡Bienvenido a la App de La Piña Brava!” y un botón de continuar.  Al presionar el botón Continuar se mostrar la pantalla inicial de la aplicación.</t>
  </si>
  <si>
    <t>Palabra Existente</t>
  </si>
  <si>
    <t>Exitoso</t>
  </si>
  <si>
    <t>Término presente en catálogo</t>
  </si>
  <si>
    <t>No se muestra ningun pop-up, tampoco el botón de continuar para hacer el proceso de login</t>
  </si>
  <si>
    <t>LPB-CP003</t>
  </si>
  <si>
    <t>Mango</t>
  </si>
  <si>
    <t>Muestra lista de productos coincidentes</t>
  </si>
  <si>
    <t>Ingresar nombre, correo electronico, contraseña, aceptar terminos y condiciones.           Dar click en "Registarme"</t>
  </si>
  <si>
    <t>Recibir un modal que la cuenta se ha creado, se redirige  hacaia la pantalla de login</t>
  </si>
  <si>
    <t>ID Incidente</t>
  </si>
  <si>
    <t>Sin Coincidencias</t>
  </si>
  <si>
    <t>LPB-CP004</t>
  </si>
  <si>
    <t>Término inexistente en catálogo</t>
  </si>
  <si>
    <t>DESCRIPCIÓN DEL INCIDENTE</t>
  </si>
  <si>
    <t>CRITICIDAD</t>
  </si>
  <si>
    <t>Campo nombre 20 caracteres</t>
  </si>
  <si>
    <t>REPORTA</t>
  </si>
  <si>
    <t>FECHA DE REPORTE</t>
  </si>
  <si>
    <t>Ingresa en el campo Nombre un texto de 20 caracteres alfanuméricos</t>
  </si>
  <si>
    <t>FECHA DE ENTREGA</t>
  </si>
  <si>
    <t>Jabón</t>
  </si>
  <si>
    <t>ESTATUS</t>
  </si>
  <si>
    <t>El sistema permite el ingreso del texto correctamente sin marcar error</t>
  </si>
  <si>
    <t>EVIDENCIA</t>
  </si>
  <si>
    <t>Muestra pantalla 'No se han encontrado productos'</t>
  </si>
  <si>
    <t>COMENTARIOS</t>
  </si>
  <si>
    <t>LPB-CP005</t>
  </si>
  <si>
    <r>
      <rPr>
        <rFont val="Roboto"/>
        <color rgb="FF434343"/>
      </rPr>
      <t>DEF-1</t>
    </r>
  </si>
  <si>
    <t>Ingresa en el campo Nombre un texto de más  20 caracteres alfanuméricos</t>
  </si>
  <si>
    <t>Validar que el sistema nos muestre un mensaje de que el campo solo acepte 20 caracteres</t>
  </si>
  <si>
    <t>LPB-CP006</t>
  </si>
  <si>
    <t>No se encuentra el campo "Confirmar contraseña"</t>
  </si>
  <si>
    <t>Campos vacios</t>
  </si>
  <si>
    <t>Dejar todos los campos vacios y aceptar terminos y condiciones.                                Dar click en "Registrarme"</t>
  </si>
  <si>
    <t>Validar que el sistema no permita el registro, en los campos obligatorios debe visualizarse en color rojo "campo requerido"</t>
  </si>
  <si>
    <t>Critica</t>
  </si>
  <si>
    <t>LPB-CP007</t>
  </si>
  <si>
    <t>Campo correo electronico</t>
  </si>
  <si>
    <t xml:space="preserve">Ingresa en el campo Correo un texto sin formato válido (usuarioregistro.com) y da clic en "Registrarme"  </t>
  </si>
  <si>
    <t>Validar que el sistema muestre mensaje de alerta indicando la estructura correcta el correo electronico</t>
  </si>
  <si>
    <t>Pendiente</t>
  </si>
  <si>
    <t>Imagen</t>
  </si>
  <si>
    <t>LPB-CP008</t>
  </si>
  <si>
    <t>Contraseña de 6 - 12 caracteres</t>
  </si>
  <si>
    <t>Ingresar campos de Nombre, correo y en el campos de contraseña ingresar 8 caracteres con al menos una mayúscula y un número (Pina2026) y da clic en "Registrarme"</t>
  </si>
  <si>
    <t>Validar que el sistema acepte la contraseña por cumplir con la longitud de 6 a 12 caracteres alfanuméricos</t>
  </si>
  <si>
    <t>LPB-CP009</t>
  </si>
  <si>
    <t>Contraseña de menos de 6 caracteres</t>
  </si>
  <si>
    <r>
      <rPr>
        <rFont val="Roboto"/>
        <color rgb="FF434343"/>
      </rPr>
      <t>DEF-2</t>
    </r>
  </si>
  <si>
    <t>Ingresar campos de Nombre, correo y en el campos de contraseña ingresar 5 caracteres con al menos una mayúscula y un número ( Pina2) y da clic en "Registrarme"</t>
  </si>
  <si>
    <t>Validar que el sistema no acepte  la contraseña por cumplir con la longitud de 6 a 12 caracteres alfanuméricos y nos muestre un mensaje de el minimo de caracteres aceptados.</t>
  </si>
  <si>
    <t>El texto descriptivo del titulo no coincide con la descripción</t>
  </si>
  <si>
    <t>Media</t>
  </si>
  <si>
    <t>LPB-CP010</t>
  </si>
  <si>
    <t>Confirmar contraseña</t>
  </si>
  <si>
    <t xml:space="preserve">Repetir nuevamente contraseña en el campos de "Confirmar contraseña" </t>
  </si>
  <si>
    <t>Validar que al ser contraseñas totalmente iguales el sistemas nos deje registrarnos correctamente</t>
  </si>
  <si>
    <t>No hay campo de confimar contraseña</t>
  </si>
  <si>
    <t>LPB-CP011</t>
  </si>
  <si>
    <t>Repetir nuevamente contraseña en el campos de "Confirmar contraseña" pero ingresando la contraseña incorectamnete</t>
  </si>
  <si>
    <t>Validar que el sistema nos mande un mensaje que las contraseñas no coinciden</t>
  </si>
  <si>
    <r>
      <rPr>
        <rFont val="Roboto"/>
        <color rgb="FF434343"/>
      </rPr>
      <t>DEF-3</t>
    </r>
  </si>
  <si>
    <t>LPB-CP012</t>
  </si>
  <si>
    <t>Los botones de incremento, no añade las cantidades correctamente, aumenta solo de 1 y 3</t>
  </si>
  <si>
    <t>Visualizar terminos y condiciones</t>
  </si>
  <si>
    <t>Da clic sobre el enlace/hipervínculo de "Términos y Condiciones</t>
  </si>
  <si>
    <t>Validar que el sistema abra la pantalla o modal que despliega los avisos legales indicados por La Piña Brava</t>
  </si>
  <si>
    <t>No podemos dar click</t>
  </si>
  <si>
    <t>LPB-CP013</t>
  </si>
  <si>
    <t>Video</t>
  </si>
  <si>
    <t>Aceptar terminos y condiciones</t>
  </si>
  <si>
    <t>Seleccionar la casilla tipo check de Aceptar términos y condiciones y dar clic en Registrarme</t>
  </si>
  <si>
    <t>Validar que la casilla se muestre seleccionada con un punto dentro de ella y que el sistema permita completar el registro exitosamente</t>
  </si>
  <si>
    <t>No se muestra un punto dentro del check</t>
  </si>
  <si>
    <t>LPB-CP014</t>
  </si>
  <si>
    <r>
      <rPr>
        <rFont val="Roboto"/>
        <color rgb="FF434343"/>
      </rPr>
      <t>DEF-4</t>
    </r>
  </si>
  <si>
    <t>Check de terminos y condiciones</t>
  </si>
  <si>
    <t>Ingresar nombre, correo electronico, contraseña, telefono, no  aceptar terminos y condiciones.           Dar click en "Registarme"</t>
  </si>
  <si>
    <t>Cuando nos encontramos realizando una compra, y queremos iniciar sesión para completar la compra, damos click en "iniciar sesión" y no nos dirige al Login</t>
  </si>
  <si>
    <t>Validar que el sistema no permita el registro de la nueva, mostrar mensaje en color rojo "campo requerido"</t>
  </si>
  <si>
    <t>No podemos ver las validaciones</t>
  </si>
  <si>
    <t>Olvido contraseña</t>
  </si>
  <si>
    <t xml:space="preserve">dar click en "Olvido contraseña" para poder restaurarla </t>
  </si>
  <si>
    <t>Validar que el sistema nos pida un correo electronico, para que se nos envie un enlace para una nueva contraseña</t>
  </si>
  <si>
    <t>No cuenta con la funcionalidad</t>
  </si>
  <si>
    <t>Busquedas</t>
  </si>
  <si>
    <r>
      <rPr>
        <rFont val="Roboto"/>
        <color rgb="FF434343"/>
      </rPr>
      <t>DEF-5</t>
    </r>
  </si>
  <si>
    <t>No se pueden agregar más productos al carrito</t>
  </si>
  <si>
    <t>Alta</t>
  </si>
  <si>
    <t>LPB-CP015</t>
  </si>
  <si>
    <t>Usuarios se encuentra en ofertas del día</t>
  </si>
  <si>
    <t>Ingresa la palabra "Paletas"</t>
  </si>
  <si>
    <t>Validar que al realizar la búsqueda solo se obtengan resultados de "paletas"</t>
  </si>
  <si>
    <r>
      <rPr>
        <rFont val="Roboto"/>
        <color rgb="FF434343"/>
      </rPr>
      <t>DEF-6</t>
    </r>
  </si>
  <si>
    <t>Los productos sugeridos no se pueden agregar al carrito</t>
  </si>
  <si>
    <t>Trae otros productos no relacionados</t>
  </si>
  <si>
    <t>LPB-CP016</t>
  </si>
  <si>
    <t>el usuario visualiza las etiquetas en "Recientes".</t>
  </si>
  <si>
    <t>Hace clic sobre la etiqueta tamarindo</t>
  </si>
  <si>
    <t>Validar que se ejecute la búsqueda y muestre los productos asociados a "tamarindo".</t>
  </si>
  <si>
    <t>No podemos realizar una búsqueda reciente</t>
  </si>
  <si>
    <r>
      <rPr>
        <rFont val="Roboto"/>
        <color rgb="FF434343"/>
      </rPr>
      <t>DEF-7</t>
    </r>
  </si>
  <si>
    <t>Menú</t>
  </si>
  <si>
    <t>Duplicidad de direcciones de la casa y oficina  en el modulos de direcciones</t>
  </si>
  <si>
    <t>INFORME DE CIERRE DE PRUEBAS</t>
  </si>
  <si>
    <t>LPB-CP017</t>
  </si>
  <si>
    <t>el usuario se encuentra en cualquier pantalla con el header superior.</t>
  </si>
  <si>
    <t>Hacer click en el icono de menú hamburguesa  en la esquina superior izquierda</t>
  </si>
  <si>
    <t>El sistema despliega el menú lateral mostrando las opciones de navegación (Perfil, Mis Pedidos, Direcciones, Tarjetas, Ayuda, Cerrar Sesión).</t>
  </si>
  <si>
    <t>Resumen Ejecutivo y Dictamen para Evaluación Técnica</t>
  </si>
  <si>
    <r>
      <rPr>
        <rFont val="Roboto"/>
        <color rgb="FF434343"/>
      </rPr>
      <t>DEF-8</t>
    </r>
  </si>
  <si>
    <t>La primera y la tercera tarjeta muestran la misma terminación repetida. No se deberian añadir tarjetas duplicadass</t>
  </si>
  <si>
    <t>LPB-CP018</t>
  </si>
  <si>
    <t>el usuario tiene el menú lateral desplegado</t>
  </si>
  <si>
    <t>Hace clic fuera del menú</t>
  </si>
  <si>
    <t>Proyecto:</t>
  </si>
  <si>
    <t>El sistema oculta el menú lateral y regresa a la pantalla en la que se encontraba el usuario.</t>
  </si>
  <si>
    <t>Módulo Uthis</t>
  </si>
  <si>
    <t>No realiza ninguna acción</t>
  </si>
  <si>
    <t>Versión:</t>
  </si>
  <si>
    <t>v1.0.0-PROD</t>
  </si>
  <si>
    <t>Responsable QA:</t>
  </si>
  <si>
    <t>Dictamen Final:</t>
  </si>
  <si>
    <t>RECHAZADO (NO-GO) - RIESGO DE SEGURIDAD</t>
  </si>
  <si>
    <r>
      <rPr>
        <rFont val="Roboto"/>
        <color rgb="FF434343"/>
      </rPr>
      <t>DEF-9</t>
    </r>
  </si>
  <si>
    <t>LPB-CP019</t>
  </si>
  <si>
    <t>Al tener productos en el carrito de compras y proceder con la compra, (dar click en realiazar compra") la app se rompe</t>
  </si>
  <si>
    <t>el usuario se encuentra en la sección "Elige con el picantómetro</t>
  </si>
  <si>
    <t>MÉTRICAS DE CASOS DE PRUEBA</t>
  </si>
  <si>
    <t>Hace clic sobre la opción "Los peligrosos</t>
  </si>
  <si>
    <t>MÉTRICAS DE DEFECTOS</t>
  </si>
  <si>
    <t>El sistema filtra el catálogo mostrando únicamente los productos con el nivel de picante más alto</t>
  </si>
  <si>
    <t>Estado</t>
  </si>
  <si>
    <t>Cantidad</t>
  </si>
  <si>
    <t>%</t>
  </si>
  <si>
    <t>Criticidad</t>
  </si>
  <si>
    <t>LPB-CP020</t>
  </si>
  <si>
    <t>Hace clic sobre la opción "Los bravos"</t>
  </si>
  <si>
    <t>El sistema filtra el catálogo desplegando los productos con nivel de picante alto/intenso.</t>
  </si>
  <si>
    <r>
      <rPr>
        <rFont val="Roboto"/>
        <color rgb="FF434343"/>
      </rPr>
      <t>DEF-10</t>
    </r>
  </si>
  <si>
    <t xml:space="preserve">Los productos no se añaden a una lista de favoritos al dar click en el corazón </t>
  </si>
  <si>
    <t>LPB-CP021</t>
  </si>
  <si>
    <t>Hace clic sobre la opción "Los normalillos</t>
  </si>
  <si>
    <t>El sistema filtra la lista mostrando los productos con picante medio o moderado.</t>
  </si>
  <si>
    <r>
      <rPr>
        <rFont val="Roboto"/>
        <color rgb="FF434343"/>
      </rPr>
      <t>DEF-11</t>
    </r>
  </si>
  <si>
    <t>LPB-CP022</t>
  </si>
  <si>
    <t>No se encuentra el módulo de lista de favoritos</t>
  </si>
  <si>
    <t>Hace clic sobre la opción "Los levecitos"</t>
  </si>
  <si>
    <t>El sistema muestra la lista de productos con sabor suave o picante muy bajo.</t>
  </si>
  <si>
    <t>Categorias</t>
  </si>
  <si>
    <r>
      <rPr>
        <rFont val="Roboto"/>
        <color rgb="FF434343"/>
      </rPr>
      <t>DEF-12</t>
    </r>
  </si>
  <si>
    <t>Diferido</t>
  </si>
  <si>
    <t>El menú lateral no funciona, y no podemos los demás módulos de la app</t>
  </si>
  <si>
    <t>LPB-CP023</t>
  </si>
  <si>
    <t>el usuario está en la pantalla principal de "Búsquedas"</t>
  </si>
  <si>
    <t>Visualiza r  a cuadrícula de "Categorías" (Acidito, Frutal, Gomitas, Botana, Salsa, Confitado).</t>
  </si>
  <si>
    <t>Validar que las categorías muestran su imagen correspoendiente a su titulo</t>
  </si>
  <si>
    <t>Baja</t>
  </si>
  <si>
    <t>Total</t>
  </si>
  <si>
    <t>LPB-CP024</t>
  </si>
  <si>
    <t>Selecciona la categoría "Aciditos"</t>
  </si>
  <si>
    <r>
      <rPr>
        <rFont val="Roboto"/>
        <color rgb="FF434343"/>
      </rPr>
      <t>DEF-13</t>
    </r>
  </si>
  <si>
    <t>filtra el catálogo mostrando los productos correspondientes a la categoría "Aciditos"</t>
  </si>
  <si>
    <t>Validar productos relacioandos a la categoria</t>
  </si>
  <si>
    <t>No se pueden agregar direcciones</t>
  </si>
  <si>
    <t>LPB-CP025</t>
  </si>
  <si>
    <t>Selecciona la categoría "Frutal"</t>
  </si>
  <si>
    <t>filtra el catálogo mostrando los productos correspondientes a la categoría "Frutal"</t>
  </si>
  <si>
    <t>LPB-CP026</t>
  </si>
  <si>
    <t>Selecciona la categoría "Gomitas"</t>
  </si>
  <si>
    <t>filtra el catálogo mostrando los productos correspondientes a la categoría "Gomitas"</t>
  </si>
  <si>
    <r>
      <rPr>
        <rFont val="Roboto"/>
        <color rgb="FF434343"/>
      </rPr>
      <t>DEF-14</t>
    </r>
  </si>
  <si>
    <t>No se encuentra la funcionalidad para agregar una dirección nueva</t>
  </si>
  <si>
    <t>No podemos ingresar a la categoria</t>
  </si>
  <si>
    <t>LPB-CP027</t>
  </si>
  <si>
    <t>Selecciona la categoría "Botana"</t>
  </si>
  <si>
    <t>filtra el catálogo mostrando los productos correspondientes a la categoría "Botana"</t>
  </si>
  <si>
    <r>
      <rPr>
        <rFont val="Roboto"/>
        <color rgb="FF434343"/>
      </rPr>
      <t>DEF-15</t>
    </r>
  </si>
  <si>
    <t>LPB-CP028</t>
  </si>
  <si>
    <t>Selecciona la categoría "Salsa"</t>
  </si>
  <si>
    <t>Funcionalidad Faltante: No se encuentra disponible la opción ni el formulario para registrar un 'Nuevo Método de Pago'.</t>
  </si>
  <si>
    <t>filtra el catálogo mostrando los productos correspondientes a la categoría "Salsa"</t>
  </si>
  <si>
    <t>LPB-CP029</t>
  </si>
  <si>
    <t>Selecciona la categoría "Confitado"</t>
  </si>
  <si>
    <r>
      <rPr>
        <rFont val="Roboto"/>
        <color rgb="FF434343"/>
      </rPr>
      <t>DEF-16</t>
    </r>
  </si>
  <si>
    <t>filtra el catálogo mostrando los productos correspondientes a la categoría "Confitado"</t>
  </si>
  <si>
    <t>Inconsistencia de UI vs HU: La Historia de Usuario (punto vii) exige un 'punto' dentro de la casilla de Términos, pero Figma despliega una 'palomita' (checkmark).</t>
  </si>
  <si>
    <t>LPB-CP030</t>
  </si>
  <si>
    <t>Seleción de categoria sin productos</t>
  </si>
  <si>
    <t>Selecionar una categoria sin productos</t>
  </si>
  <si>
    <t>Validar que muestre mensaje de "No se han encotrado productos"</t>
  </si>
  <si>
    <r>
      <rPr>
        <rFont val="Roboto"/>
        <color rgb="FF434343"/>
      </rPr>
      <t>DEF-17</t>
    </r>
  </si>
  <si>
    <t>Validación de los campos de nombre, contraseña, correo electronico, no se muestran</t>
  </si>
  <si>
    <t>Detalle de producto</t>
  </si>
  <si>
    <t>LPB-CP031</t>
  </si>
  <si>
    <t>DEF-18</t>
  </si>
  <si>
    <t>usuario se encuentra en el catálogo "Ofertas del día".</t>
  </si>
  <si>
    <t>Dar click sobre la tarjeta del producto "Mango"</t>
  </si>
  <si>
    <t>Validar que el sistema despliega una ventana emergente/modal con el detalle del producto</t>
  </si>
  <si>
    <t>No se encuenra la opción en el campo de visualizar contraseña</t>
  </si>
  <si>
    <t>LPB-CP032</t>
  </si>
  <si>
    <t>visualizar el modal de detalle del producto</t>
  </si>
  <si>
    <t>Revisa el texto descriptivo del producto en el modal.</t>
  </si>
  <si>
    <t>El texto descriptivo debe ser congruente con el título del producto.</t>
  </si>
  <si>
    <t>DEF-19</t>
  </si>
  <si>
    <t>No coincide el titulo con la descripción del producto</t>
  </si>
  <si>
    <t>LPB-CP033</t>
  </si>
  <si>
    <t>No podemos ingresar al login con una cuenta registrada, porque al dar click en "inicio de sesión' no redirige a la pantalla de login</t>
  </si>
  <si>
    <t>Baja, Critica</t>
  </si>
  <si>
    <t>visualizar el modal de detalle del producto.</t>
  </si>
  <si>
    <t>Hace clic en el botón de cerrar</t>
  </si>
  <si>
    <t>Validar que sistema cierre el modal y regresa al catálogo "Ofertas del día".</t>
  </si>
  <si>
    <t>LPB-CP034</t>
  </si>
  <si>
    <t>El usuario visualiza la tarjeta del producto</t>
  </si>
  <si>
    <t>Hace clic sobre el icono de corazón naranja (Favorito) en la esquina superior izquierda de la tarjeta.</t>
  </si>
  <si>
    <t>El sistema cambia el icono a un estado activo (corazón relleno/marcado) y agrega el producto a la sección o lista de Favoritos del usuario.</t>
  </si>
  <si>
    <t>DEF-20</t>
  </si>
  <si>
    <t>No se puede realizar la acción</t>
  </si>
  <si>
    <t>Al seleccionar la catergoria de acciditos nos muestra una pantalla en negro</t>
  </si>
  <si>
    <t>LPB-CP035</t>
  </si>
  <si>
    <t>el usuario tiene un producto marcado previamente como Favorito.</t>
  </si>
  <si>
    <t>Hace clic nuevamente sobre el icono de corazón en la tarjeta del producto.</t>
  </si>
  <si>
    <t>El sistema desmarca el corazón y elimina el producto de la lista de Favoritos del usuario</t>
  </si>
  <si>
    <t>Carrito de compras</t>
  </si>
  <si>
    <t>LPB-CP036</t>
  </si>
  <si>
    <t>usuario añade promoción de 3 unidades de "Mango deshidratado" y entra a "MI carrito".</t>
  </si>
  <si>
    <t>Revisa el desglose de precios (Subtotal $175.50, Descuento -$58.50 por 3x2, Envío $50.00).</t>
  </si>
  <si>
    <t>Validar que el sistema calcule el Total sumando Subtotal ($175.50) - Descuento ($58.50) + Envío ($50.00) = $167.00.</t>
  </si>
  <si>
    <t>LPB-CP037</t>
  </si>
  <si>
    <t>Usuario selecciona solo 1 producto de mango</t>
  </si>
  <si>
    <t>Revisar el desglose de precios, total de producto $58.50, Envio del producto</t>
  </si>
  <si>
    <t>Validar que el sistema calcule el Total  ($58.50) + Envío ($50.00) = $108.58</t>
  </si>
  <si>
    <t>LPB-CP038</t>
  </si>
  <si>
    <t>Usuario se encuenra en carrito de compras</t>
  </si>
  <si>
    <t>Hace clic en los botones de incremento (+) o decremento (-) en la cantidad del producto.</t>
  </si>
  <si>
    <t>Validar que el sistema actualize en tiempo real la cantidad y recalcula el desglose de precios y total</t>
  </si>
  <si>
    <t>Solo aumenta de 1 y 3</t>
  </si>
  <si>
    <t>LPB-CP039</t>
  </si>
  <si>
    <t>Hacer click en el enlace "Seguir comprando".</t>
  </si>
  <si>
    <t>El sistema redirige al catálogo principal conservando los productos añadidos al carrito.</t>
  </si>
  <si>
    <t>LPB-CP040</t>
  </si>
  <si>
    <t>usuario visualiza la sección de "Sugeridos" al pie del carrito.</t>
  </si>
  <si>
    <t>Hace clic en el botón de agregar al carrito de un producto sugerido</t>
  </si>
  <si>
    <t>El producto sugerido se añade a la lista superior del carrito y recalcula el total de la compra.</t>
  </si>
  <si>
    <t>LPB-CP041</t>
  </si>
  <si>
    <t>El usuario no ha iniciado sesión (Usuario Invitado).</t>
  </si>
  <si>
    <t>Intenta agregar un producto al carrito o realizar la compra.</t>
  </si>
  <si>
    <t>El sistema redirige al usuario a la pantalla de Inicio de Sesión / Registro antes de procesar la compra</t>
  </si>
  <si>
    <t>La app falla, y solo se ve la pantalla en negro</t>
  </si>
  <si>
    <t>LPB-CP042</t>
  </si>
  <si>
    <t>El se encuentra en la pantalla "MI carrito" con productos agregados.</t>
  </si>
  <si>
    <t>Hace clic en el icono/botón de elimina</t>
  </si>
  <si>
    <t>El sistema muestra un mensaje/modal de confirmación: "¿Deseas eliminar este producto de tu carrito?".</t>
  </si>
  <si>
    <t>No se muetsra ningun modal</t>
  </si>
  <si>
    <t>LPB-CP043</t>
  </si>
  <si>
    <t>el usuario confirma la cancelación de su pedido desde "Mis Pedidos".</t>
  </si>
  <si>
    <t>Selecciona un motivo y presiona "Confirmar cancelación".</t>
  </si>
  <si>
    <t>El sistema actualiza el estatus del pedido a "Cancelado", envía una notificación/correo de confirmación al usuario y libera los productos devueltos al inventario.</t>
  </si>
  <si>
    <t>No se encunetra esa funcionalidad</t>
  </si>
  <si>
    <t>LPB-CP044</t>
  </si>
  <si>
    <t>El usuario presiona "Realizar compra" desde el Carrito.</t>
  </si>
  <si>
    <t>Visualiza las opciones en la pantalla "Dirección de entrega"</t>
  </si>
  <si>
    <t>Las direcciones guardadas ("Casa", "Oficina") deben mostrar sus datos correspondientes</t>
  </si>
  <si>
    <t>Ambas son las mismas direcciones</t>
  </si>
  <si>
    <t>LPB-CP045</t>
  </si>
  <si>
    <t>el usuario está en la pantalla "Dirección de entrega"</t>
  </si>
  <si>
    <t>Revisa las opciones de "Métodos de pago" guardados</t>
  </si>
  <si>
    <t>Cada tarjeta guardada debe mostrar una terminación de 4 dígitos única para su identificación.</t>
  </si>
  <si>
    <t>No deberian repetirse los números de tarjetas</t>
  </si>
  <si>
    <t>LPB-CP046</t>
  </si>
  <si>
    <t>El usuario selecciona una Dirección y un Método de Pago.</t>
  </si>
  <si>
    <t>Presiona el botón principal "Realizar compra".</t>
  </si>
  <si>
    <t>El sistema procesa la transacción y despliega la pantalla de confirmación de pedido exitoso.</t>
  </si>
  <si>
    <t>Se rompe el flujo</t>
  </si>
  <si>
    <t>LPB-CP047</t>
  </si>
  <si>
    <t>el usuario está en la pantalla "Dirección de entrega" o en su perfil.</t>
  </si>
  <si>
    <t>Agregar nueva dirección</t>
  </si>
  <si>
    <t>Validar  que el sistema despliege el formulario para capturar Calle, No. Ext, No. Int, C.P., Colonia, Alcaldía/Municipio y Alias (Casa, Oficina).</t>
  </si>
  <si>
    <t>No se encientra la función</t>
  </si>
  <si>
    <t>LPB-CP048</t>
  </si>
  <si>
    <t>El usuario llena los datos de una nueva dirección válida.</t>
  </si>
  <si>
    <t>Presiona el botón "Guardar dirección"</t>
  </si>
  <si>
    <t>El sistema guarda la dirección, la muestra en la lista de direcciones disponibles y permite seleccionarla para la entrega.</t>
  </si>
  <si>
    <t>LPB-CP049</t>
  </si>
  <si>
    <t>El usuario visualiza sus direcciones guardadas ("Casa", "Oficina")</t>
  </si>
  <si>
    <t>Revisar el detalle del texto de cada dirección.</t>
  </si>
  <si>
    <t>Cada alias de dirección debe mostrar una ubicación física distinta y no repetida</t>
  </si>
  <si>
    <t>LPB-CP050</t>
  </si>
  <si>
    <t>El usuario se encunetra en la sección "Métodos de pago".</t>
  </si>
  <si>
    <t>Hace clic en el botón  Agregar nueva tarjeta</t>
  </si>
  <si>
    <t>No se encuentra la funcionalidad</t>
  </si>
  <si>
    <t>LPB-CP051</t>
  </si>
  <si>
    <t>El usuario llena los datos de una tarjeta de crédito/débito válida</t>
  </si>
  <si>
    <t>Presiona el botón "Guardar tarjeta"</t>
  </si>
  <si>
    <t>El sistema enmascara el número de tarjeta (mostrando solo los últimos 4 dígitos</t>
  </si>
  <si>
    <t>LPB-CP052</t>
  </si>
  <si>
    <t>Que el usuario visualiza las tarjetas guardadas en la pantalla de pago</t>
  </si>
  <si>
    <t>Revisa las terminaciones de las tarjetas en la lista.</t>
  </si>
  <si>
    <t>Cada tarjeta registrada debe mostrar su terminación de 4 dígitos única e independiente</t>
  </si>
  <si>
    <t>Se puede agregar la misma tarjeta N veces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</si>
</sst>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0.0%"/>
  </numFmts>
  <fonts count="48">
    <font>
      <sz val="11.0"/>
      <color theme="1"/>
      <name val="Arial"/>
      <scheme val="minor"/>
    </font>
    <font>
      <b/>
      <sz val="24.0"/>
      <color rgb="FF1F4E79"/>
      <name val="Roboto"/>
    </font>
    <font>
      <b/>
      <sz val="24.0"/>
      <color theme="1"/>
      <name val="Roboto"/>
    </font>
    <font>
      <sz val="11.0"/>
      <color theme="1"/>
      <name val="Calibri"/>
    </font>
    <font>
      <sz val="14.0"/>
      <color theme="1"/>
      <name val="Roboto"/>
    </font>
    <font>
      <i/>
      <sz val="12.0"/>
      <color rgb="FF4A5568"/>
      <name val="Roboto"/>
    </font>
    <font/>
    <font>
      <i/>
      <sz val="12.0"/>
      <color theme="1"/>
      <name val="Roboto"/>
    </font>
    <font>
      <sz val="11.0"/>
      <color theme="1"/>
      <name val="Roboto"/>
    </font>
    <font>
      <b/>
      <sz val="11.0"/>
      <color theme="1"/>
      <name val="Roboto"/>
    </font>
    <font>
      <b/>
      <sz val="12.0"/>
      <color rgb="FFFFFFFF"/>
      <name val="Roboto"/>
    </font>
    <font>
      <color theme="1"/>
      <name val="Roboto"/>
    </font>
    <font>
      <color theme="1"/>
      <name val="Arial"/>
    </font>
    <font>
      <b/>
      <sz val="16.0"/>
      <color rgb="FF1F4E79"/>
      <name val="Calibri"/>
    </font>
    <font>
      <color rgb="FF1A202C"/>
      <name val="Roboto"/>
    </font>
    <font>
      <b/>
      <sz val="11.0"/>
      <color rgb="FF595959"/>
      <name val="Calibri"/>
    </font>
    <font>
      <b/>
      <sz val="11.0"/>
      <color rgb="FF1F497D"/>
      <name val="Roboto"/>
    </font>
    <font>
      <b/>
      <sz val="9.0"/>
      <color rgb="FF4A5568"/>
      <name val="Roboto"/>
    </font>
    <font>
      <b/>
      <sz val="11.0"/>
      <color rgb="FFFFFFFF"/>
      <name val="Calibri"/>
    </font>
    <font>
      <b/>
      <sz val="10.0"/>
      <color theme="1"/>
      <name val="Calibri"/>
    </font>
    <font>
      <b/>
      <color rgb="FFFFFFFF"/>
      <name val="Quattrocento Sans"/>
    </font>
    <font>
      <sz val="10.0"/>
      <color theme="1"/>
      <name val="Calibri"/>
    </font>
    <font>
      <b/>
      <sz val="9.0"/>
      <color rgb="FFFFFFFF"/>
      <name val="Roboto"/>
    </font>
    <font>
      <sz val="11.0"/>
      <color rgb="FF233944"/>
      <name val="Roboto"/>
    </font>
    <font>
      <b/>
      <sz val="11.0"/>
      <color rgb="FFFFFFFF"/>
      <name val="Roboto"/>
    </font>
    <font>
      <b/>
      <sz val="9.0"/>
      <color theme="1"/>
      <name val="Quattrocento Sans"/>
    </font>
    <font>
      <u/>
      <sz val="11.0"/>
      <color rgb="FF0000FF"/>
      <name val="Roboto"/>
    </font>
    <font>
      <b/>
      <sz val="11.0"/>
      <color rgb="FF434343"/>
      <name val="Roboto"/>
    </font>
    <font>
      <sz val="11.0"/>
      <color rgb="FF434343"/>
      <name val="Roboto"/>
    </font>
    <font>
      <sz val="11.0"/>
      <color rgb="FF5A3286"/>
      <name val="Roboto"/>
    </font>
    <font>
      <b/>
      <color rgb="FFFFFFFF"/>
      <name val="Roboto"/>
    </font>
    <font>
      <sz val="11.0"/>
      <color theme="1"/>
      <name val="Arial"/>
    </font>
    <font>
      <color rgb="FF434343"/>
      <name val="Roboto"/>
    </font>
    <font>
      <color rgb="FF3D3D3D"/>
      <name val="Roboto"/>
    </font>
    <font>
      <u/>
      <sz val="11.0"/>
      <color rgb="FF0000FF"/>
      <name val="Roboto"/>
    </font>
    <font>
      <sz val="9.0"/>
      <color theme="1"/>
      <name val="Quattrocento Sans"/>
    </font>
    <font>
      <u/>
      <sz val="11.0"/>
      <color rgb="FF0000FF"/>
      <name val="Roboto"/>
    </font>
    <font>
      <b/>
      <sz val="11.0"/>
      <color rgb="FF233944"/>
      <name val="Roboto"/>
    </font>
    <font>
      <b/>
      <sz val="18.0"/>
      <color rgb="FF1F4E79"/>
      <name val="Roboto"/>
    </font>
    <font>
      <i/>
      <color theme="1"/>
      <name val="Roboto"/>
    </font>
    <font>
      <b/>
      <sz val="10.0"/>
      <color rgb="FF333333"/>
      <name val="Roboto"/>
    </font>
    <font>
      <sz val="10.0"/>
      <color rgb="FF000000"/>
      <name val="Roboto"/>
    </font>
    <font>
      <b/>
      <sz val="10.0"/>
      <color rgb="FFC00000"/>
      <name val="Roboto"/>
    </font>
    <font>
      <b/>
      <color rgb="FFFFFFFF"/>
      <name val="Arial"/>
    </font>
    <font>
      <b/>
      <sz val="11.0"/>
      <color rgb="FF000000"/>
      <name val="Roboto"/>
    </font>
    <font>
      <sz val="10.0"/>
      <color theme="1"/>
      <name val="Roboto"/>
    </font>
    <font>
      <b/>
      <sz val="10.0"/>
      <color theme="1"/>
      <name val="Roboto"/>
    </font>
    <font>
      <color rgb="FF5A3286"/>
      <name val="Roboto"/>
    </font>
  </fonts>
  <fills count="12">
    <fill>
      <patternFill patternType="none"/>
    </fill>
    <fill>
      <patternFill patternType="lightGray"/>
    </fill>
    <fill>
      <patternFill patternType="solid">
        <fgColor rgb="FF435E91"/>
        <bgColor rgb="FF435E91"/>
      </patternFill>
    </fill>
    <fill>
      <patternFill patternType="solid">
        <fgColor rgb="FFF8F8FF"/>
        <bgColor rgb="FFF8F8FF"/>
      </patternFill>
    </fill>
    <fill>
      <patternFill patternType="solid">
        <fgColor rgb="FFEFEFEF"/>
        <bgColor rgb="FFEFEFEF"/>
      </patternFill>
    </fill>
    <fill>
      <patternFill patternType="solid">
        <fgColor rgb="FF1F4E79"/>
        <bgColor rgb="FF1F4E79"/>
      </patternFill>
    </fill>
    <fill>
      <patternFill patternType="solid">
        <fgColor rgb="FFFFFFFF"/>
        <bgColor rgb="FFFFFFFF"/>
      </patternFill>
    </fill>
    <fill>
      <patternFill patternType="solid">
        <fgColor rgb="FFD9E1F2"/>
        <bgColor rgb="FFD9E1F2"/>
      </patternFill>
    </fill>
    <fill>
      <patternFill patternType="solid">
        <fgColor rgb="FFFCE5CD"/>
        <bgColor rgb="FFFCE5CD"/>
      </patternFill>
    </fill>
    <fill>
      <patternFill patternType="solid">
        <fgColor rgb="FFF6F8F9"/>
        <bgColor rgb="FFF6F8F9"/>
      </patternFill>
    </fill>
    <fill>
      <patternFill patternType="solid">
        <fgColor theme="0"/>
        <bgColor theme="0"/>
      </patternFill>
    </fill>
    <fill>
      <patternFill patternType="solid">
        <fgColor rgb="FFE2E8F0"/>
        <bgColor rgb="FFE2E8F0"/>
      </patternFill>
    </fill>
  </fills>
  <borders count="52">
    <border/>
    <border>
      <left style="thin">
        <color rgb="FFFBBC04"/>
      </left>
      <top style="thin">
        <color rgb="FFFBBC04"/>
      </top>
    </border>
    <border>
      <top style="thin">
        <color rgb="FFFBBC04"/>
      </top>
    </border>
    <border>
      <right style="thin">
        <color rgb="FFFBBC04"/>
      </right>
      <top style="thin">
        <color rgb="FFFBBC04"/>
      </top>
    </border>
    <border>
      <left style="thin">
        <color rgb="FFF4B26B"/>
      </left>
      <top style="thin">
        <color rgb="FFF4B26B"/>
      </top>
      <bottom style="thin">
        <color rgb="FFF4B26B"/>
      </bottom>
    </border>
    <border>
      <left style="thin">
        <color rgb="FFFBBC04"/>
      </left>
    </border>
    <border>
      <top style="thin">
        <color rgb="FFF4B26B"/>
      </top>
      <bottom style="thin">
        <color rgb="FFF4B26B"/>
      </bottom>
    </border>
    <border>
      <right style="thin">
        <color rgb="FFF4B26B"/>
      </right>
      <top style="thin">
        <color rgb="FFF4B26B"/>
      </top>
      <bottom style="thin">
        <color rgb="FFF4B26B"/>
      </bottom>
    </border>
    <border>
      <right style="thin">
        <color rgb="FFFBBC04"/>
      </right>
    </border>
    <border>
      <left style="thin">
        <color rgb="FFF4B26B"/>
      </left>
      <right style="thin">
        <color rgb="FFF4B26B"/>
      </right>
      <top style="thin">
        <color rgb="FFF4B26B"/>
      </top>
      <bottom style="thin">
        <color rgb="FFF4B26B"/>
      </bottom>
    </border>
    <border>
      <top style="thin">
        <color rgb="FF74777E"/>
      </top>
      <bottom style="thin">
        <color rgb="FF74777E"/>
      </bottom>
    </border>
    <border>
      <left style="thin">
        <color rgb="FFF79646"/>
      </left>
      <top style="thin">
        <color rgb="FFF79646"/>
      </top>
    </border>
    <border>
      <right style="thin">
        <color rgb="FFE2E8F0"/>
      </right>
      <top style="thin">
        <color rgb="FF74777E"/>
      </top>
      <bottom style="thin">
        <color rgb="FF74777E"/>
      </bottom>
    </border>
    <border>
      <top style="thin">
        <color rgb="FFF79646"/>
      </top>
    </border>
    <border>
      <left style="thin">
        <color rgb="FFE2E8F0"/>
      </left>
      <top style="thin">
        <color rgb="FF74777E"/>
      </top>
      <bottom style="thin">
        <color rgb="FF74777E"/>
      </bottom>
    </border>
    <border>
      <right style="thin">
        <color rgb="FFF79646"/>
      </right>
      <top style="thin">
        <color rgb="FFF79646"/>
      </top>
    </border>
    <border>
      <right style="thin">
        <color rgb="FFFBBC04"/>
      </right>
      <top style="thin">
        <color rgb="FF74777E"/>
      </top>
      <bottom style="thin">
        <color rgb="FF74777E"/>
      </bottom>
    </border>
    <border>
      <left style="thin">
        <color rgb="FFF79646"/>
      </left>
    </border>
    <border>
      <right style="thin">
        <color rgb="FFF79646"/>
      </right>
    </border>
    <border>
      <left style="thin">
        <color rgb="FFFBBC04"/>
      </left>
      <top style="thin">
        <color rgb="FF74777E"/>
      </top>
      <bottom style="thin">
        <color rgb="FF74777E"/>
      </bottom>
    </border>
    <border>
      <left style="thin">
        <color rgb="FFFBBC04"/>
      </left>
      <right style="thin">
        <color rgb="FF000000"/>
      </right>
      <top style="thin">
        <color rgb="FF000000"/>
      </top>
      <bottom style="thin">
        <color rgb="FF000000"/>
      </bottom>
    </border>
    <border>
      <top style="thin">
        <color rgb="FF74777E"/>
      </top>
    </border>
    <border>
      <right style="thin">
        <color rgb="FFFBBC04"/>
      </right>
      <top style="thin">
        <color rgb="FF74777E"/>
      </top>
    </border>
    <border>
      <left style="thin">
        <color rgb="FFFBBC04"/>
      </left>
      <bottom style="thin">
        <color rgb="FF74777E"/>
      </bottom>
    </border>
    <border>
      <bottom style="thin">
        <color rgb="FF74777E"/>
      </bottom>
    </border>
    <border>
      <right style="thin">
        <color rgb="FFD9D9D9"/>
      </right>
      <top style="thin">
        <color rgb="FFD9D9D9"/>
      </top>
      <bottom style="thin">
        <color rgb="FFD9D9D9"/>
      </bottom>
    </border>
    <border>
      <right style="thin">
        <color rgb="FFFBBC04"/>
      </right>
      <bottom style="thin">
        <color rgb="FF74777E"/>
      </bottom>
    </border>
    <border>
      <left/>
      <right/>
      <top/>
      <bottom/>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left style="thin">
        <color rgb="FFFF9900"/>
      </left>
      <right style="thin">
        <color rgb="FF000000"/>
      </right>
      <top style="thin">
        <color rgb="FFFF9900"/>
      </top>
      <bottom style="thin">
        <color rgb="FF000000"/>
      </bottom>
    </border>
    <border>
      <left style="thin">
        <color rgb="FFFBBC04"/>
      </left>
      <top style="thin">
        <color rgb="FF74777E"/>
      </top>
    </border>
    <border>
      <left style="thin">
        <color rgb="FF000000"/>
      </left>
      <right style="thin">
        <color rgb="FF000000"/>
      </right>
      <top style="thin">
        <color rgb="FFFF9900"/>
      </top>
      <bottom style="thin">
        <color rgb="FF000000"/>
      </bottom>
    </border>
    <border>
      <left style="thin">
        <color rgb="FFFBBC04"/>
      </left>
      <bottom style="thin">
        <color rgb="FFFBBC04"/>
      </bottom>
    </border>
    <border>
      <bottom style="thin">
        <color rgb="FFFBBC04"/>
      </bottom>
    </border>
    <border>
      <right style="thin">
        <color rgb="FFFBBC04"/>
      </right>
      <bottom style="thin">
        <color rgb="FFFBBC04"/>
      </bottom>
    </border>
    <border>
      <left style="thin">
        <color rgb="FF000000"/>
      </left>
      <right style="thin">
        <color rgb="FFFF9900"/>
      </right>
      <top style="thin">
        <color rgb="FFFF9900"/>
      </top>
      <bottom style="thin">
        <color rgb="FF000000"/>
      </bottom>
    </border>
    <border>
      <right/>
      <top/>
      <bottom/>
    </border>
    <border>
      <left style="thin">
        <color rgb="FFFF99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F79646"/>
      </left>
      <right style="thin">
        <color rgb="FFF79646"/>
      </right>
      <top style="thin">
        <color rgb="FFF79646"/>
      </top>
      <bottom style="thin">
        <color rgb="FFF79646"/>
      </bottom>
    </border>
    <border>
      <left/>
      <top/>
      <bottom/>
    </border>
    <border>
      <left style="thin">
        <color rgb="FF000000"/>
      </left>
      <right style="thin">
        <color rgb="FFFF9900"/>
      </right>
      <top style="thin">
        <color rgb="FF000000"/>
      </top>
      <bottom style="thin">
        <color rgb="FF000000"/>
      </bottom>
    </border>
    <border>
      <right style="thin">
        <color rgb="FFD9D9D9"/>
      </right>
    </border>
    <border>
      <left style="thin">
        <color rgb="FFFF9900"/>
      </left>
      <right style="thin">
        <color rgb="FF000000"/>
      </right>
      <top style="thin">
        <color rgb="FF000000"/>
      </top>
      <bottom style="thin">
        <color rgb="FFFF9900"/>
      </bottom>
    </border>
    <border>
      <left style="thin">
        <color rgb="FF000000"/>
      </left>
      <right style="thin">
        <color rgb="FF000000"/>
      </right>
      <top style="thin">
        <color rgb="FF063763"/>
      </top>
      <bottom style="thin">
        <color rgb="FF000000"/>
      </bottom>
    </border>
    <border>
      <left style="thin">
        <color rgb="FF000000"/>
      </left>
      <right style="thin">
        <color rgb="FF000000"/>
      </right>
      <top style="thin">
        <color rgb="FF000000"/>
      </top>
      <bottom style="thin">
        <color rgb="FFFF9900"/>
      </bottom>
    </border>
    <border>
      <left style="thin">
        <color rgb="FF000000"/>
      </left>
      <right style="thin">
        <color rgb="FFFF9900"/>
      </right>
      <top style="thin">
        <color rgb="FF000000"/>
      </top>
      <bottom style="thin">
        <color rgb="FFFF99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FFFFFF"/>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92">
    <xf borderId="0" fillId="0" fontId="0" numFmtId="0" xfId="0" applyAlignment="1" applyFont="1">
      <alignment readingOrder="0" shrinkToFit="0" vertical="bottom" wrapText="0"/>
    </xf>
    <xf borderId="1" fillId="0" fontId="1" numFmtId="0" xfId="0" applyAlignment="1" applyBorder="1" applyFont="1">
      <alignment vertical="bottom"/>
    </xf>
    <xf borderId="2" fillId="0" fontId="2" numFmtId="0" xfId="0" applyAlignment="1" applyBorder="1" applyFont="1">
      <alignment vertical="bottom"/>
    </xf>
    <xf borderId="2" fillId="0" fontId="3" numFmtId="0" xfId="0" applyAlignment="1" applyBorder="1" applyFont="1">
      <alignment vertical="bottom"/>
    </xf>
    <xf borderId="3" fillId="0" fontId="3" numFmtId="0" xfId="0" applyAlignment="1" applyBorder="1" applyFont="1">
      <alignment vertical="bottom"/>
    </xf>
    <xf borderId="4" fillId="0" fontId="4" numFmtId="0" xfId="0" applyAlignment="1" applyBorder="1" applyFont="1">
      <alignment horizontal="center" shrinkToFit="0" vertical="top" wrapText="1"/>
    </xf>
    <xf borderId="5" fillId="0" fontId="5" numFmtId="0" xfId="0" applyAlignment="1" applyBorder="1" applyFont="1">
      <alignment vertical="bottom"/>
    </xf>
    <xf borderId="6" fillId="0" fontId="6" numFmtId="0" xfId="0" applyBorder="1" applyFont="1"/>
    <xf borderId="0" fillId="0" fontId="7" numFmtId="0" xfId="0" applyAlignment="1" applyFont="1">
      <alignment vertical="bottom"/>
    </xf>
    <xf borderId="0" fillId="0" fontId="3" numFmtId="0" xfId="0" applyAlignment="1" applyFont="1">
      <alignment vertical="bottom"/>
    </xf>
    <xf borderId="7" fillId="0" fontId="6" numFmtId="0" xfId="0" applyBorder="1" applyFont="1"/>
    <xf borderId="8" fillId="0" fontId="3" numFmtId="0" xfId="0" applyAlignment="1" applyBorder="1" applyFont="1">
      <alignment vertical="bottom"/>
    </xf>
    <xf borderId="5" fillId="0" fontId="8" numFmtId="0" xfId="0" applyAlignment="1" applyBorder="1" applyFont="1">
      <alignment vertical="bottom"/>
    </xf>
    <xf borderId="0" fillId="0" fontId="8" numFmtId="0" xfId="0" applyAlignment="1" applyFont="1">
      <alignment vertical="bottom"/>
    </xf>
    <xf borderId="4" fillId="0" fontId="9" numFmtId="0" xfId="0" applyAlignment="1" applyBorder="1" applyFont="1">
      <alignment shrinkToFit="0" vertical="top" wrapText="1"/>
    </xf>
    <xf borderId="5" fillId="2" fontId="10" numFmtId="0" xfId="0" applyAlignment="1" applyBorder="1" applyFill="1" applyFont="1">
      <alignment vertical="bottom"/>
    </xf>
    <xf borderId="8" fillId="0" fontId="6" numFmtId="0" xfId="0" applyBorder="1" applyFont="1"/>
    <xf borderId="9" fillId="0" fontId="11" numFmtId="0" xfId="0" applyAlignment="1" applyBorder="1" applyFont="1">
      <alignment vertical="bottom"/>
    </xf>
    <xf borderId="5" fillId="3" fontId="12" numFmtId="0" xfId="0" applyBorder="1" applyFill="1" applyFont="1"/>
    <xf borderId="0" fillId="0" fontId="13" numFmtId="0" xfId="0" applyFont="1"/>
    <xf borderId="10" fillId="3" fontId="14" numFmtId="0" xfId="0" applyAlignment="1" applyBorder="1" applyFill="1" applyFont="1">
      <alignment shrinkToFit="0" vertical="top" wrapText="1"/>
    </xf>
    <xf borderId="11" fillId="4" fontId="13" numFmtId="0" xfId="0" applyBorder="1" applyFill="1" applyFont="1"/>
    <xf borderId="0" fillId="0" fontId="12" numFmtId="0" xfId="0" applyAlignment="1" applyFont="1">
      <alignment horizontal="left"/>
    </xf>
    <xf borderId="12" fillId="3" fontId="14" numFmtId="0" xfId="0" applyAlignment="1" applyBorder="1" applyFill="1" applyFont="1">
      <alignment shrinkToFit="0" vertical="top" wrapText="1"/>
    </xf>
    <xf borderId="13" fillId="4" fontId="12" numFmtId="0" xfId="0" applyBorder="1" applyFill="1" applyFont="1"/>
    <xf borderId="0" fillId="0" fontId="15" numFmtId="0" xfId="0" applyFont="1"/>
    <xf borderId="14" fillId="3" fontId="14" numFmtId="0" xfId="0" applyAlignment="1" applyBorder="1" applyFill="1" applyFont="1">
      <alignment shrinkToFit="0" vertical="top" wrapText="1"/>
    </xf>
    <xf borderId="9" fillId="0" fontId="16" numFmtId="0" xfId="0" applyAlignment="1" applyBorder="1" applyFont="1">
      <alignment shrinkToFit="0" vertical="top" wrapText="1"/>
    </xf>
    <xf borderId="10" fillId="0" fontId="6" numFmtId="0" xfId="0" applyBorder="1" applyFont="1"/>
    <xf borderId="15" fillId="4" fontId="12" numFmtId="0" xfId="0" applyBorder="1" applyFill="1" applyFont="1"/>
    <xf borderId="16" fillId="0" fontId="6" numFmtId="0" xfId="0" applyBorder="1" applyFont="1"/>
    <xf borderId="17" fillId="4" fontId="15" numFmtId="0" xfId="0" applyBorder="1" applyFill="1" applyFont="1"/>
    <xf borderId="5" fillId="0" fontId="17" numFmtId="0" xfId="0" applyAlignment="1" applyBorder="1" applyFont="1">
      <alignment vertical="bottom"/>
    </xf>
    <xf borderId="0" fillId="4" fontId="12" numFmtId="0" xfId="0" applyFill="1" applyFont="1"/>
    <xf borderId="0" fillId="0" fontId="17" numFmtId="0" xfId="0" applyAlignment="1" applyFont="1">
      <alignment vertical="bottom"/>
    </xf>
    <xf borderId="0" fillId="0" fontId="18" numFmtId="0" xfId="0" applyAlignment="1" applyFont="1">
      <alignment horizontal="center" readingOrder="0" shrinkToFit="0" vertical="center" wrapText="0"/>
    </xf>
    <xf borderId="18" fillId="4" fontId="12" numFmtId="0" xfId="0" applyBorder="1" applyFill="1" applyFont="1"/>
    <xf borderId="19" fillId="3" fontId="14" numFmtId="0" xfId="0" applyAlignment="1" applyBorder="1" applyFill="1" applyFont="1">
      <alignment shrinkToFit="0" vertical="top" wrapText="1"/>
    </xf>
    <xf borderId="12" fillId="0" fontId="6" numFmtId="0" xfId="0" applyBorder="1" applyFont="1"/>
    <xf borderId="17" fillId="4" fontId="12" numFmtId="0" xfId="0" applyBorder="1" applyFill="1" applyFont="1"/>
    <xf borderId="20" fillId="0" fontId="17" numFmtId="0" xfId="0" applyAlignment="1" applyBorder="1" applyFont="1">
      <alignment vertical="bottom"/>
    </xf>
    <xf borderId="0" fillId="0" fontId="18" numFmtId="0" xfId="0" applyAlignment="1" applyFont="1">
      <alignment horizontal="left" readingOrder="0" shrinkToFit="0" vertical="center" wrapText="0"/>
    </xf>
    <xf borderId="5" fillId="3" fontId="12" numFmtId="0" xfId="0" applyAlignment="1" applyBorder="1" applyFill="1" applyFont="1">
      <alignment shrinkToFit="0" wrapText="1"/>
    </xf>
    <xf borderId="21" fillId="3" fontId="14" numFmtId="0" xfId="0" applyAlignment="1" applyBorder="1" applyFill="1" applyFont="1">
      <alignment shrinkToFit="0" vertical="top" wrapText="1"/>
    </xf>
    <xf borderId="22" fillId="3" fontId="14" numFmtId="0" xfId="0" applyAlignment="1" applyBorder="1" applyFill="1" applyFont="1">
      <alignment shrinkToFit="0" vertical="top" wrapText="1"/>
    </xf>
    <xf borderId="0" fillId="0" fontId="18" numFmtId="49" xfId="0" applyAlignment="1" applyFont="1" applyNumberFormat="1">
      <alignment horizontal="center" readingOrder="0" shrinkToFit="0" vertical="center" wrapText="0"/>
    </xf>
    <xf borderId="9" fillId="0" fontId="9" numFmtId="0" xfId="0" applyAlignment="1" applyBorder="1" applyFont="1">
      <alignment horizontal="center" shrinkToFit="0" vertical="top" wrapText="1"/>
    </xf>
    <xf borderId="23" fillId="3" fontId="14" numFmtId="0" xfId="0" applyAlignment="1" applyBorder="1" applyFill="1" applyFont="1">
      <alignment shrinkToFit="0" vertical="top" wrapText="1"/>
    </xf>
    <xf borderId="9" fillId="0" fontId="9" numFmtId="0" xfId="0" applyAlignment="1" applyBorder="1" applyFont="1">
      <alignment shrinkToFit="0" vertical="top" wrapText="1"/>
    </xf>
    <xf borderId="24" fillId="3" fontId="14" numFmtId="0" xfId="0" applyAlignment="1" applyBorder="1" applyFill="1" applyFont="1">
      <alignment shrinkToFit="0" vertical="top" wrapText="1"/>
    </xf>
    <xf borderId="25" fillId="0" fontId="19" numFmtId="0" xfId="0" applyAlignment="1" applyBorder="1" applyFont="1">
      <alignment horizontal="left" shrinkToFit="0" vertical="center" wrapText="0"/>
    </xf>
    <xf borderId="26" fillId="3" fontId="14" numFmtId="0" xfId="0" applyAlignment="1" applyBorder="1" applyFill="1" applyFont="1">
      <alignment shrinkToFit="0" vertical="top" wrapText="1"/>
    </xf>
    <xf borderId="27" fillId="5" fontId="20" numFmtId="0" xfId="0" applyAlignment="1" applyBorder="1" applyFill="1" applyFont="1">
      <alignment horizontal="center" shrinkToFit="0" wrapText="1"/>
    </xf>
    <xf borderId="28" fillId="0" fontId="21" numFmtId="0" xfId="0" applyAlignment="1" applyBorder="1" applyFont="1">
      <alignment horizontal="center" shrinkToFit="0" vertical="center" wrapText="0"/>
    </xf>
    <xf borderId="5" fillId="2" fontId="22" numFmtId="0" xfId="0" applyAlignment="1" applyBorder="1" applyFill="1" applyFont="1">
      <alignment vertical="bottom"/>
    </xf>
    <xf borderId="9" fillId="0" fontId="23" numFmtId="1" xfId="0" applyAlignment="1" applyBorder="1" applyFont="1" applyNumberFormat="1">
      <alignment horizontal="right" vertical="top"/>
    </xf>
    <xf borderId="29" fillId="0" fontId="21" numFmtId="0" xfId="0" applyAlignment="1" applyBorder="1" applyFont="1">
      <alignment horizontal="center" shrinkToFit="0" vertical="center" wrapText="0"/>
    </xf>
    <xf borderId="0" fillId="2" fontId="24" numFmtId="0" xfId="0" applyAlignment="1" applyFill="1" applyFont="1">
      <alignment vertical="bottom"/>
    </xf>
    <xf borderId="9" fillId="0" fontId="8" numFmtId="0" xfId="0" applyAlignment="1" applyBorder="1" applyFont="1">
      <alignment shrinkToFit="0" vertical="top" wrapText="1"/>
    </xf>
    <xf borderId="8" fillId="2" fontId="24" numFmtId="0" xfId="0" applyAlignment="1" applyBorder="1" applyFill="1" applyFont="1">
      <alignment vertical="bottom"/>
    </xf>
    <xf borderId="28" fillId="0" fontId="21" numFmtId="0" xfId="0" applyAlignment="1" applyBorder="1" applyFont="1">
      <alignment horizontal="left" shrinkToFit="0" vertical="center" wrapText="0"/>
    </xf>
    <xf borderId="30" fillId="6" fontId="8" numFmtId="0" xfId="0" applyAlignment="1" applyBorder="1" applyFill="1" applyFont="1">
      <alignment shrinkToFit="0" vertical="center" wrapText="0"/>
    </xf>
    <xf borderId="31" fillId="3" fontId="14" numFmtId="0" xfId="0" applyAlignment="1" applyBorder="1" applyFill="1" applyFont="1">
      <alignment shrinkToFit="0" vertical="top" wrapText="1"/>
    </xf>
    <xf borderId="21" fillId="0" fontId="6" numFmtId="0" xfId="0" applyBorder="1" applyFont="1"/>
    <xf borderId="22" fillId="0" fontId="6" numFmtId="0" xfId="0" applyBorder="1" applyFont="1"/>
    <xf borderId="5" fillId="0" fontId="6" numFmtId="0" xfId="0" applyBorder="1" applyFont="1"/>
    <xf borderId="32" fillId="6" fontId="8" numFmtId="0" xfId="0" applyAlignment="1" applyBorder="1" applyFill="1" applyFont="1">
      <alignment shrinkToFit="0" vertical="center" wrapText="0"/>
    </xf>
    <xf borderId="23" fillId="0" fontId="6" numFmtId="0" xfId="0" applyBorder="1" applyFont="1"/>
    <xf borderId="24" fillId="0" fontId="6" numFmtId="0" xfId="0" applyBorder="1" applyFont="1"/>
    <xf borderId="26" fillId="0" fontId="6" numFmtId="0" xfId="0" applyBorder="1" applyFont="1"/>
    <xf borderId="33" fillId="3" fontId="14" numFmtId="0" xfId="0" applyAlignment="1" applyBorder="1" applyFill="1" applyFont="1">
      <alignment shrinkToFit="0" vertical="top" wrapText="1"/>
    </xf>
    <xf borderId="34" fillId="3" fontId="14" numFmtId="0" xfId="0" applyAlignment="1" applyBorder="1" applyFill="1" applyFont="1">
      <alignment shrinkToFit="0" vertical="top" wrapText="1"/>
    </xf>
    <xf borderId="35" fillId="3" fontId="14" numFmtId="0" xfId="0" applyAlignment="1" applyBorder="1" applyFill="1" applyFont="1">
      <alignment shrinkToFit="0" vertical="top" wrapText="1"/>
    </xf>
    <xf borderId="17" fillId="0" fontId="8" numFmtId="0" xfId="0" applyAlignment="1" applyBorder="1" applyFont="1">
      <alignment vertical="bottom"/>
    </xf>
    <xf borderId="18" fillId="0" fontId="3" numFmtId="0" xfId="0" applyAlignment="1" applyBorder="1" applyFont="1">
      <alignment vertical="bottom"/>
    </xf>
    <xf borderId="32" fillId="0" fontId="8" numFmtId="0" xfId="0" applyAlignment="1" applyBorder="1" applyFont="1">
      <alignment shrinkToFit="0" vertical="bottom" wrapText="0"/>
    </xf>
    <xf borderId="0" fillId="0" fontId="11" numFmtId="0" xfId="0" applyFont="1"/>
    <xf borderId="4" fillId="0" fontId="11" numFmtId="0" xfId="0" applyBorder="1" applyFont="1"/>
    <xf borderId="36" fillId="6" fontId="8" numFmtId="0" xfId="0" applyAlignment="1" applyBorder="1" applyFill="1" applyFont="1">
      <alignment shrinkToFit="0" vertical="center" wrapText="0"/>
    </xf>
    <xf borderId="28" fillId="6" fontId="25" numFmtId="0" xfId="0" applyAlignment="1" applyBorder="1" applyFill="1" applyFont="1">
      <alignment horizontal="center"/>
    </xf>
    <xf borderId="37" fillId="7" fontId="19" numFmtId="0" xfId="0" applyAlignment="1" applyBorder="1" applyFill="1" applyFont="1">
      <alignment shrinkToFit="0" vertical="center" wrapText="0"/>
    </xf>
    <xf borderId="38" fillId="6" fontId="8" numFmtId="0" xfId="0" applyAlignment="1" applyBorder="1" applyFill="1" applyFont="1">
      <alignment shrinkToFit="0" vertical="center" wrapText="0"/>
    </xf>
    <xf borderId="27" fillId="7" fontId="19" numFmtId="0" xfId="0" applyAlignment="1" applyBorder="1" applyFill="1" applyFont="1">
      <alignment shrinkToFit="0" vertical="center" wrapText="0"/>
    </xf>
    <xf borderId="39" fillId="6" fontId="8" numFmtId="0" xfId="0" applyAlignment="1" applyBorder="1" applyFill="1" applyFont="1">
      <alignment shrinkToFit="0" vertical="center" wrapText="0"/>
    </xf>
    <xf borderId="40" fillId="0" fontId="11" numFmtId="0" xfId="0" applyAlignment="1" applyBorder="1" applyFont="1">
      <alignment vertical="bottom"/>
    </xf>
    <xf borderId="41" fillId="7" fontId="19" numFmtId="0" xfId="0" applyAlignment="1" applyBorder="1" applyFill="1" applyFont="1">
      <alignment shrinkToFit="0" vertical="center" wrapText="0"/>
    </xf>
    <xf borderId="39" fillId="0" fontId="8" numFmtId="0" xfId="0" applyAlignment="1" applyBorder="1" applyFont="1">
      <alignment shrinkToFit="0" vertical="bottom" wrapText="0"/>
    </xf>
    <xf borderId="39" fillId="0" fontId="8" numFmtId="0" xfId="0" applyAlignment="1" applyBorder="1" applyFont="1">
      <alignment vertical="bottom"/>
    </xf>
    <xf borderId="28" fillId="7" fontId="19" numFmtId="0" xfId="0" applyAlignment="1" applyBorder="1" applyFill="1" applyFont="1">
      <alignment horizontal="left" shrinkToFit="0" vertical="center" wrapText="0"/>
    </xf>
    <xf borderId="42" fillId="6" fontId="8" numFmtId="0" xfId="0" applyAlignment="1" applyBorder="1" applyFill="1" applyFont="1">
      <alignment shrinkToFit="0" vertical="center" wrapText="0"/>
    </xf>
    <xf borderId="28" fillId="7" fontId="19" numFmtId="0" xfId="0" applyAlignment="1" applyBorder="1" applyFill="1" applyFont="1">
      <alignment shrinkToFit="0" vertical="center" wrapText="0"/>
    </xf>
    <xf borderId="0" fillId="5" fontId="18" numFmtId="0" xfId="0" applyAlignment="1" applyFill="1" applyFont="1">
      <alignment horizontal="left" shrinkToFit="0" vertical="center" wrapText="0"/>
    </xf>
    <xf borderId="0" fillId="5" fontId="18" numFmtId="0" xfId="0" applyAlignment="1" applyFill="1" applyFont="1">
      <alignment horizontal="center" shrinkToFit="0" vertical="center" wrapText="0"/>
    </xf>
    <xf borderId="0" fillId="5" fontId="18" numFmtId="49" xfId="0" applyAlignment="1" applyFill="1" applyFont="1" applyNumberFormat="1">
      <alignment horizontal="center" shrinkToFit="0" vertical="center" wrapText="0"/>
    </xf>
    <xf borderId="28" fillId="0" fontId="19" numFmtId="0" xfId="0" applyAlignment="1" applyBorder="1" applyFont="1">
      <alignment horizontal="left" shrinkToFit="0" vertical="center" wrapText="0"/>
    </xf>
    <xf borderId="25" fillId="0" fontId="21" numFmtId="0" xfId="0" applyAlignment="1" applyBorder="1" applyFont="1">
      <alignment horizontal="left" shrinkToFit="0" vertical="center" wrapText="0"/>
    </xf>
    <xf borderId="43" fillId="0" fontId="19" numFmtId="0" xfId="0" applyAlignment="1" applyBorder="1" applyFont="1">
      <alignment horizontal="left" shrinkToFit="0" vertical="center" wrapText="0"/>
    </xf>
    <xf borderId="0" fillId="0" fontId="21" numFmtId="0" xfId="0" applyAlignment="1" applyFont="1">
      <alignment horizontal="center" shrinkToFit="0" vertical="center" wrapText="0"/>
    </xf>
    <xf borderId="39" fillId="6" fontId="26" numFmtId="0" xfId="0" applyAlignment="1" applyBorder="1" applyFill="1" applyFont="1">
      <alignment shrinkToFit="0" vertical="center" wrapText="0"/>
    </xf>
    <xf borderId="0" fillId="0" fontId="21" numFmtId="0" xfId="0" applyAlignment="1" applyFont="1">
      <alignment horizontal="left" shrinkToFit="0" vertical="center" wrapText="0"/>
    </xf>
    <xf borderId="0" fillId="0" fontId="19" numFmtId="0" xfId="0" applyAlignment="1" applyFont="1">
      <alignment horizontal="left" shrinkToFit="0" vertical="center" wrapText="0"/>
    </xf>
    <xf borderId="0" fillId="0" fontId="11" numFmtId="0" xfId="0" applyAlignment="1" applyFont="1">
      <alignment horizontal="left" vertical="bottom"/>
    </xf>
    <xf borderId="0" fillId="0" fontId="9" numFmtId="0" xfId="0" applyAlignment="1" applyFont="1">
      <alignment horizontal="center" readingOrder="0" shrinkToFit="0" vertical="top" wrapText="1"/>
    </xf>
    <xf borderId="0" fillId="0" fontId="9" numFmtId="0" xfId="0" applyAlignment="1" applyFont="1">
      <alignment horizontal="left" readingOrder="0" shrinkToFit="0" vertical="top" wrapText="1"/>
    </xf>
    <xf borderId="0" fillId="0" fontId="11" numFmtId="0" xfId="0" applyAlignment="1" applyFont="1">
      <alignment vertical="top"/>
    </xf>
    <xf borderId="39" fillId="0" fontId="11" numFmtId="0" xfId="0" applyAlignment="1" applyBorder="1" applyFont="1">
      <alignment vertical="bottom"/>
    </xf>
    <xf borderId="0" fillId="8" fontId="27" numFmtId="0" xfId="0" applyAlignment="1" applyFill="1" applyFont="1">
      <alignment horizontal="right" shrinkToFit="0" vertical="top" wrapText="1"/>
    </xf>
    <xf borderId="0" fillId="8" fontId="27" numFmtId="0" xfId="0" applyAlignment="1" applyFill="1" applyFont="1">
      <alignment horizontal="center" shrinkToFit="0" vertical="top" wrapText="1"/>
    </xf>
    <xf borderId="0" fillId="8" fontId="28" numFmtId="0" xfId="0" applyAlignment="1" applyFill="1" applyFont="1">
      <alignment shrinkToFit="0" vertical="top" wrapText="1"/>
    </xf>
    <xf borderId="0" fillId="8" fontId="29" numFmtId="0" xfId="0" applyAlignment="1" applyFill="1" applyFont="1">
      <alignment shrinkToFit="0" vertical="bottom" wrapText="1"/>
    </xf>
    <xf borderId="0" fillId="8" fontId="8" numFmtId="0" xfId="0" applyAlignment="1" applyFill="1" applyFont="1">
      <alignment shrinkToFit="0" vertical="bottom" wrapText="1"/>
    </xf>
    <xf borderId="0" fillId="8" fontId="8" numFmtId="0" xfId="0" applyAlignment="1" applyFill="1" applyFont="1">
      <alignment shrinkToFit="0" vertical="top" wrapText="1"/>
    </xf>
    <xf borderId="39" fillId="9" fontId="23" numFmtId="0" xfId="0" applyAlignment="1" applyBorder="1" applyFill="1" applyFont="1">
      <alignment horizontal="right" shrinkToFit="0" vertical="top" wrapText="1"/>
    </xf>
    <xf borderId="39" fillId="9" fontId="28" numFmtId="0" xfId="0" applyAlignment="1" applyBorder="1" applyFill="1" applyFont="1">
      <alignment horizontal="center" shrinkToFit="0" vertical="top" wrapText="1"/>
    </xf>
    <xf borderId="39" fillId="9" fontId="28" numFmtId="0" xfId="0" applyAlignment="1" applyBorder="1" applyFill="1" applyFont="1">
      <alignment shrinkToFit="0" vertical="top" wrapText="1"/>
    </xf>
    <xf borderId="39" fillId="6" fontId="8" numFmtId="0" xfId="0" applyAlignment="1" applyBorder="1" applyFill="1" applyFont="1">
      <alignment horizontal="left" shrinkToFit="0" vertical="center" wrapText="0"/>
    </xf>
    <xf borderId="39" fillId="0" fontId="8" numFmtId="0" xfId="0" applyAlignment="1" applyBorder="1" applyFont="1">
      <alignment shrinkToFit="0" vertical="bottom" wrapText="1"/>
    </xf>
    <xf borderId="39" fillId="9" fontId="8" numFmtId="0" xfId="0" applyAlignment="1" applyBorder="1" applyFill="1" applyFont="1">
      <alignment shrinkToFit="0" vertical="top" wrapText="1"/>
    </xf>
    <xf borderId="39" fillId="6" fontId="8" numFmtId="0" xfId="0" applyAlignment="1" applyBorder="1" applyFill="1" applyFont="1">
      <alignment shrinkToFit="0" vertical="top" wrapText="1"/>
    </xf>
    <xf borderId="0" fillId="0" fontId="30" numFmtId="0" xfId="0" applyAlignment="1" applyFont="1">
      <alignment horizontal="center" readingOrder="0" shrinkToFit="0" vertical="center" wrapText="1"/>
    </xf>
    <xf borderId="39" fillId="6" fontId="28" numFmtId="0" xfId="0" applyAlignment="1" applyBorder="1" applyFill="1" applyFont="1">
      <alignment shrinkToFit="0" vertical="top" wrapText="1"/>
    </xf>
    <xf borderId="39" fillId="0" fontId="31" numFmtId="0" xfId="0" applyAlignment="1" applyBorder="1" applyFont="1">
      <alignment readingOrder="0" shrinkToFit="0" vertical="bottom" wrapText="0"/>
    </xf>
    <xf borderId="0" fillId="0" fontId="30" numFmtId="0" xfId="0" applyAlignment="1" applyFont="1">
      <alignment horizontal="center" readingOrder="0" shrinkToFit="0" vertical="top" wrapText="1"/>
    </xf>
    <xf borderId="39" fillId="0" fontId="8" numFmtId="0" xfId="0" applyAlignment="1" applyBorder="1" applyFont="1">
      <alignment shrinkToFit="0" vertical="center" wrapText="1"/>
    </xf>
    <xf borderId="44" fillId="6" fontId="21" numFmtId="0" xfId="0" applyAlignment="1" applyBorder="1" applyFill="1" applyFont="1">
      <alignment shrinkToFit="0" vertical="center" wrapText="0"/>
    </xf>
    <xf borderId="45" fillId="6" fontId="32" numFmtId="0" xfId="0" applyAlignment="1" applyBorder="1" applyFill="1" applyFont="1">
      <alignment horizontal="center" shrinkToFit="0" vertical="bottom" wrapText="1"/>
    </xf>
    <xf borderId="46" fillId="6" fontId="21" numFmtId="0" xfId="0" applyAlignment="1" applyBorder="1" applyFill="1" applyFont="1">
      <alignment shrinkToFit="0" vertical="center" wrapText="0"/>
    </xf>
    <xf borderId="39" fillId="0" fontId="8" numFmtId="0" xfId="0" applyAlignment="1" applyBorder="1" applyFont="1">
      <alignment shrinkToFit="0" vertical="bottom" wrapText="1"/>
    </xf>
    <xf borderId="46" fillId="6" fontId="11" numFmtId="0" xfId="0" applyAlignment="1" applyBorder="1" applyFill="1" applyFont="1">
      <alignment shrinkToFit="0" vertical="bottom" wrapText="0"/>
    </xf>
    <xf borderId="39" fillId="6" fontId="32" numFmtId="0" xfId="0" applyAlignment="1" applyBorder="1" applyFill="1" applyFont="1">
      <alignment horizontal="center" shrinkToFit="0" vertical="top" wrapText="1"/>
    </xf>
    <xf borderId="47" fillId="6" fontId="21" numFmtId="0" xfId="0" applyAlignment="1" applyBorder="1" applyFill="1" applyFont="1">
      <alignment shrinkToFit="0" vertical="center" wrapText="0"/>
    </xf>
    <xf borderId="39" fillId="0" fontId="8" numFmtId="0" xfId="0" applyAlignment="1" applyBorder="1" applyFont="1">
      <alignment shrinkToFit="0" vertical="bottom" wrapText="1"/>
    </xf>
    <xf borderId="39" fillId="6" fontId="11" numFmtId="164" xfId="0" applyAlignment="1" applyBorder="1" applyFill="1" applyFont="1" applyNumberFormat="1">
      <alignment shrinkToFit="0" vertical="bottom" wrapText="1"/>
    </xf>
    <xf borderId="0" fillId="0" fontId="8" numFmtId="0" xfId="0" applyAlignment="1" applyFont="1">
      <alignment shrinkToFit="0" vertical="center" wrapText="1"/>
    </xf>
    <xf borderId="39" fillId="6" fontId="11" numFmtId="164" xfId="0" applyAlignment="1" applyBorder="1" applyFill="1" applyFont="1" applyNumberFormat="1">
      <alignment shrinkToFit="0" vertical="bottom" wrapText="0"/>
    </xf>
    <xf borderId="39" fillId="6" fontId="33" numFmtId="0" xfId="0" applyAlignment="1" applyBorder="1" applyFill="1" applyFont="1">
      <alignment shrinkToFit="0" vertical="bottom" wrapText="1"/>
    </xf>
    <xf borderId="39" fillId="0" fontId="34" numFmtId="0" xfId="0" applyAlignment="1" applyBorder="1" applyFont="1">
      <alignment horizontal="center" readingOrder="0" shrinkToFit="0" vertical="center" wrapText="1"/>
    </xf>
    <xf borderId="39" fillId="6" fontId="11" numFmtId="0" xfId="0" applyAlignment="1" applyBorder="1" applyFill="1" applyFont="1">
      <alignment shrinkToFit="0" vertical="center" wrapText="0"/>
    </xf>
    <xf borderId="28" fillId="6" fontId="35" numFmtId="0" xfId="0" applyAlignment="1" applyBorder="1" applyFill="1" applyFont="1">
      <alignment shrinkToFit="0" wrapText="1"/>
    </xf>
    <xf borderId="39" fillId="6" fontId="32" numFmtId="0" xfId="0" applyAlignment="1" applyBorder="1" applyFill="1" applyFont="1">
      <alignment horizontal="center" shrinkToFit="0" vertical="bottom" wrapText="1"/>
    </xf>
    <xf borderId="39" fillId="0" fontId="8" numFmtId="0" xfId="0" applyAlignment="1" applyBorder="1" applyFont="1">
      <alignment shrinkToFit="0" vertical="bottom" wrapText="0"/>
    </xf>
    <xf borderId="39" fillId="0" fontId="36" numFmtId="0" xfId="0" applyAlignment="1" applyBorder="1" applyFont="1">
      <alignment horizontal="center" shrinkToFit="0" vertical="center" wrapText="1"/>
    </xf>
    <xf borderId="39" fillId="6" fontId="11" numFmtId="0" xfId="0" applyAlignment="1" applyBorder="1" applyFill="1" applyFont="1">
      <alignment shrinkToFit="0" vertical="top" wrapText="0"/>
    </xf>
    <xf borderId="0" fillId="0" fontId="11" numFmtId="0" xfId="0" applyAlignment="1" applyFont="1">
      <alignment vertical="bottom"/>
    </xf>
    <xf borderId="39" fillId="6" fontId="32" numFmtId="0" xfId="0" applyAlignment="1" applyBorder="1" applyFill="1" applyFont="1">
      <alignment shrinkToFit="0" vertical="top" wrapText="1"/>
    </xf>
    <xf borderId="39" fillId="8" fontId="37" numFmtId="0" xfId="0" applyAlignment="1" applyBorder="1" applyFill="1" applyFont="1">
      <alignment horizontal="right" shrinkToFit="0" vertical="top" wrapText="1"/>
    </xf>
    <xf borderId="39" fillId="6" fontId="11" numFmtId="0" xfId="0" applyAlignment="1" applyBorder="1" applyFill="1" applyFont="1">
      <alignment readingOrder="0" shrinkToFit="0" vertical="center" wrapText="0"/>
    </xf>
    <xf borderId="39" fillId="8" fontId="27" numFmtId="0" xfId="0" applyAlignment="1" applyBorder="1" applyFill="1" applyFont="1">
      <alignment horizontal="center" shrinkToFit="0" vertical="top" wrapText="1"/>
    </xf>
    <xf borderId="39" fillId="8" fontId="28" numFmtId="0" xfId="0" applyAlignment="1" applyBorder="1" applyFill="1" applyFont="1">
      <alignment shrinkToFit="0" vertical="top" wrapText="1"/>
    </xf>
    <xf borderId="39" fillId="8" fontId="8" numFmtId="0" xfId="0" applyAlignment="1" applyBorder="1" applyFill="1" applyFont="1">
      <alignment shrinkToFit="0" vertical="bottom" wrapText="1"/>
    </xf>
    <xf borderId="39" fillId="6" fontId="28" numFmtId="0" xfId="0" applyAlignment="1" applyBorder="1" applyFill="1" applyFont="1">
      <alignment horizontal="center" shrinkToFit="0" vertical="top" wrapText="1"/>
    </xf>
    <xf borderId="48" fillId="6" fontId="28" numFmtId="0" xfId="0" applyAlignment="1" applyBorder="1" applyFill="1" applyFont="1">
      <alignment shrinkToFit="0" vertical="top" wrapText="1"/>
    </xf>
    <xf borderId="49" fillId="9" fontId="28" numFmtId="0" xfId="0" applyAlignment="1" applyBorder="1" applyFill="1" applyFont="1">
      <alignment horizontal="center" shrinkToFit="0" vertical="top" wrapText="1"/>
    </xf>
    <xf borderId="50" fillId="0" fontId="8" numFmtId="0" xfId="0" applyAlignment="1" applyBorder="1" applyFont="1">
      <alignment shrinkToFit="0" vertical="bottom" wrapText="1"/>
    </xf>
    <xf borderId="0" fillId="10" fontId="38" numFmtId="0" xfId="0" applyFill="1" applyFont="1"/>
    <xf borderId="39" fillId="6" fontId="23" numFmtId="0" xfId="0" applyAlignment="1" applyBorder="1" applyFill="1" applyFont="1">
      <alignment horizontal="right" shrinkToFit="0" vertical="top" wrapText="1"/>
    </xf>
    <xf borderId="0" fillId="10" fontId="11" numFmtId="0" xfId="0" applyFill="1" applyFont="1"/>
    <xf borderId="0" fillId="10" fontId="39" numFmtId="0" xfId="0" applyFill="1" applyFont="1"/>
    <xf borderId="39" fillId="6" fontId="32" numFmtId="0" xfId="0" applyAlignment="1" applyBorder="1" applyFill="1" applyFont="1">
      <alignment readingOrder="0" shrinkToFit="0" vertical="top" wrapText="1"/>
    </xf>
    <xf borderId="0" fillId="0" fontId="12" numFmtId="0" xfId="0" applyAlignment="1" applyFont="1">
      <alignment shrinkToFit="0" vertical="center" wrapText="1"/>
    </xf>
    <xf borderId="51" fillId="10" fontId="40" numFmtId="0" xfId="0" applyAlignment="1" applyBorder="1" applyFill="1" applyFont="1">
      <alignment horizontal="right" vertical="center"/>
    </xf>
    <xf borderId="51" fillId="10" fontId="41" numFmtId="0" xfId="0" applyAlignment="1" applyBorder="1" applyFill="1" applyFont="1">
      <alignment vertical="center"/>
    </xf>
    <xf borderId="51" fillId="10" fontId="11" numFmtId="0" xfId="0" applyAlignment="1" applyBorder="1" applyFill="1" applyFont="1">
      <alignment vertical="center"/>
    </xf>
    <xf borderId="51" fillId="10" fontId="42" numFmtId="0" xfId="0" applyAlignment="1" applyBorder="1" applyFill="1" applyFont="1">
      <alignment vertical="center"/>
    </xf>
    <xf borderId="39" fillId="6" fontId="32" numFmtId="0" xfId="0" applyAlignment="1" applyBorder="1" applyFill="1" applyFont="1">
      <alignment readingOrder="0" shrinkToFit="0" vertical="center" wrapText="1"/>
    </xf>
    <xf borderId="0" fillId="0" fontId="11" numFmtId="0" xfId="0" applyAlignment="1" applyFont="1">
      <alignment shrinkToFit="0" vertical="bottom" wrapText="1"/>
    </xf>
    <xf borderId="39" fillId="2" fontId="43" numFmtId="0" xfId="0" applyBorder="1" applyFill="1" applyFont="1"/>
    <xf borderId="39" fillId="11" fontId="44" numFmtId="0" xfId="0" applyBorder="1" applyFill="1" applyFont="1"/>
    <xf borderId="39" fillId="10" fontId="45" numFmtId="0" xfId="0" applyBorder="1" applyFill="1" applyFont="1"/>
    <xf borderId="39" fillId="10" fontId="45" numFmtId="165" xfId="0" applyBorder="1" applyFill="1" applyFont="1" applyNumberFormat="1"/>
    <xf borderId="39" fillId="8" fontId="37" numFmtId="0" xfId="0" applyAlignment="1" applyBorder="1" applyFill="1" applyFont="1">
      <alignment horizontal="right" readingOrder="0" shrinkToFit="0" vertical="top" wrapText="1"/>
    </xf>
    <xf borderId="39" fillId="10" fontId="11" numFmtId="0" xfId="0" applyBorder="1" applyFill="1" applyFont="1"/>
    <xf borderId="39" fillId="10" fontId="46" numFmtId="0" xfId="0" applyBorder="1" applyFill="1" applyFont="1"/>
    <xf borderId="39" fillId="10" fontId="46" numFmtId="165" xfId="0" applyBorder="1" applyFill="1" applyFont="1" applyNumberFormat="1"/>
    <xf borderId="39" fillId="6" fontId="32" numFmtId="0" xfId="0" applyAlignment="1" applyBorder="1" applyFill="1" applyFont="1">
      <alignment horizontal="center" readingOrder="0" shrinkToFit="0" vertical="top" wrapText="1"/>
    </xf>
    <xf borderId="39" fillId="6" fontId="32" numFmtId="0" xfId="0" applyAlignment="1" applyBorder="1" applyFill="1" applyFont="1">
      <alignment shrinkToFit="0" vertical="center" wrapText="1"/>
    </xf>
    <xf borderId="28" fillId="0" fontId="8" numFmtId="0" xfId="0" applyAlignment="1" applyBorder="1" applyFont="1">
      <alignment shrinkToFit="0" vertical="center" wrapText="1"/>
    </xf>
    <xf borderId="39" fillId="6" fontId="47" numFmtId="0" xfId="0" applyAlignment="1" applyBorder="1" applyFill="1" applyFont="1">
      <alignment readingOrder="0" shrinkToFit="0" vertical="bottom" wrapText="1"/>
    </xf>
    <xf borderId="39" fillId="0" fontId="31" numFmtId="0" xfId="0" applyAlignment="1" applyBorder="1" applyFont="1">
      <alignment readingOrder="0" shrinkToFit="0" vertical="bottom" wrapText="1"/>
    </xf>
    <xf borderId="39" fillId="6" fontId="11" numFmtId="0" xfId="0" applyAlignment="1" applyBorder="1" applyFill="1" applyFont="1">
      <alignment shrinkToFit="0" vertical="top" wrapText="1"/>
    </xf>
    <xf borderId="39" fillId="6" fontId="32" numFmtId="0" xfId="0" applyAlignment="1" applyBorder="1" applyFill="1" applyFont="1">
      <alignment readingOrder="0" shrinkToFit="0" vertical="top" wrapText="1"/>
    </xf>
    <xf borderId="39" fillId="6" fontId="11" numFmtId="0" xfId="0" applyAlignment="1" applyBorder="1" applyFill="1" applyFont="1">
      <alignment shrinkToFit="0" vertical="top" wrapText="1"/>
    </xf>
    <xf borderId="39" fillId="6" fontId="32" numFmtId="0" xfId="0" applyAlignment="1" applyBorder="1" applyFill="1" applyFont="1">
      <alignment shrinkToFit="0" vertical="top" wrapText="1"/>
    </xf>
    <xf borderId="0" fillId="10" fontId="12" numFmtId="0" xfId="0" applyFill="1" applyFont="1"/>
    <xf borderId="0" fillId="8" fontId="9" numFmtId="0" xfId="0" applyAlignment="1" applyFill="1" applyFont="1">
      <alignment shrinkToFit="0" vertical="center" wrapText="1"/>
    </xf>
    <xf borderId="39" fillId="9" fontId="28" numFmtId="0" xfId="0" applyAlignment="1" applyBorder="1" applyFill="1" applyFont="1">
      <alignment shrinkToFit="0" vertical="center" wrapText="1"/>
    </xf>
    <xf borderId="39" fillId="6" fontId="8" numFmtId="0" xfId="0" applyAlignment="1" applyBorder="1" applyFill="1" applyFont="1">
      <alignment shrinkToFit="0" vertical="bottom" wrapText="1"/>
    </xf>
    <xf borderId="0" fillId="9" fontId="23" numFmtId="0" xfId="0" applyAlignment="1" applyFill="1" applyFont="1">
      <alignment horizontal="right" shrinkToFit="0" vertical="top" wrapText="1"/>
    </xf>
    <xf borderId="0" fillId="9" fontId="28" numFmtId="0" xfId="0" applyAlignment="1" applyFill="1" applyFont="1">
      <alignment horizontal="center" shrinkToFit="0" vertical="top" wrapText="1"/>
    </xf>
    <xf borderId="0" fillId="0" fontId="8" numFmtId="0" xfId="0" applyAlignment="1" applyFont="1">
      <alignment shrinkToFit="0" vertical="center" wrapText="1"/>
    </xf>
    <xf borderId="0" fillId="0" fontId="8" numFmtId="0" xfId="0" applyAlignment="1" applyFont="1">
      <alignment shrinkToFit="0" vertical="top" wrapText="1"/>
    </xf>
    <xf borderId="0" fillId="9" fontId="8" numFmtId="0" xfId="0" applyAlignment="1" applyFill="1" applyFont="1">
      <alignment shrinkToFit="0" vertical="top" wrapText="1"/>
    </xf>
  </cellXfs>
  <cellStyles count="1">
    <cellStyle xfId="0" name="Normal" builtinId="0"/>
  </cellStyles>
  <dxfs count="10">
    <dxf>
      <font/>
      <fill>
        <patternFill patternType="none"/>
      </fill>
      <border/>
    </dxf>
    <dxf>
      <font/>
      <fill>
        <patternFill patternType="solid">
          <fgColor rgb="FF1F4E79"/>
          <bgColor rgb="FF1F4E79"/>
        </patternFill>
      </fill>
      <border/>
    </dxf>
    <dxf>
      <font/>
      <fill>
        <patternFill patternType="solid">
          <fgColor rgb="FFFFFFFF"/>
          <bgColor rgb="FFFFFFFF"/>
        </patternFill>
      </fill>
      <border/>
    </dxf>
    <dxf>
      <font/>
      <fill>
        <patternFill patternType="solid">
          <fgColor rgb="FFF1F8FB"/>
          <bgColor rgb="FFF1F8FB"/>
        </patternFill>
      </fill>
      <border/>
    </dxf>
    <dxf>
      <border>
        <left style="thin">
          <color rgb="FF1F4E79"/>
        </left>
        <right style="thin">
          <color rgb="FF1F4E79"/>
        </right>
        <top style="thin">
          <color rgb="FF1F4E79"/>
        </top>
        <bottom style="thin">
          <color rgb="FF1F4E79"/>
        </bottom>
      </border>
    </dxf>
    <dxf>
      <font/>
      <fill>
        <patternFill patternType="solid">
          <fgColor rgb="FFF9CB9C"/>
          <bgColor rgb="FFF9CB9C"/>
        </patternFill>
      </fill>
      <border/>
    </dxf>
    <dxf>
      <font/>
      <fill>
        <patternFill patternType="solid">
          <fgColor rgb="FFF6F8F9"/>
          <bgColor rgb="FFF6F8F9"/>
        </patternFill>
      </fill>
      <border/>
    </dxf>
    <dxf>
      <border>
        <left style="thin">
          <color rgb="FFF9CB9C"/>
        </left>
        <right style="thin">
          <color rgb="FFF9CB9C"/>
        </right>
        <top style="thin">
          <color rgb="FFF9CB9C"/>
        </top>
        <bottom style="thin">
          <color rgb="FFF9CB9C"/>
        </bottom>
      </border>
    </dxf>
    <dxf>
      <font/>
      <fill>
        <patternFill patternType="solid">
          <fgColor rgb="FFF8CA9B"/>
          <bgColor rgb="FFF8CA9B"/>
        </patternFill>
      </fill>
      <border/>
    </dxf>
    <dxf>
      <border>
        <left style="thin">
          <color rgb="FFF8CA9B"/>
        </left>
        <right style="thin">
          <color rgb="FFF8CA9B"/>
        </right>
        <top style="thin">
          <color rgb="FFF8CA9B"/>
        </top>
        <bottom style="thin">
          <color rgb="FFF8CA9B"/>
        </bottom>
      </border>
    </dxf>
  </dxfs>
  <tableStyles count="4">
    <tableStyle count="4" pivot="0" name="3. Tabla de Decisión-style">
      <tableStyleElement dxfId="1" type="headerRow"/>
      <tableStyleElement dxfId="2" type="firstRowStripe"/>
      <tableStyleElement dxfId="3" type="secondRowStripe"/>
      <tableStyleElement dxfId="4" size="0" type="wholeTable"/>
    </tableStyle>
    <tableStyle count="4" pivot="0" name="2. Particiones Equivalentes-style">
      <tableStyleElement dxfId="1" type="headerRow"/>
      <tableStyleElement dxfId="2" type="firstRowStripe"/>
      <tableStyleElement dxfId="3" type="secondRowStripe"/>
      <tableStyleElement dxfId="4" size="0" type="wholeTable"/>
    </tableStyle>
    <tableStyle count="4" pivot="0" name="4. Matriz Casos de Prueba-style">
      <tableStyleElement dxfId="5" type="headerRow"/>
      <tableStyleElement dxfId="2" type="firstRowStripe"/>
      <tableStyleElement dxfId="6" type="secondRowStripe"/>
      <tableStyleElement dxfId="7" size="0" type="wholeTable"/>
    </tableStyle>
    <tableStyle count="4" pivot="0" name="5. Incidencias y Bugs-style">
      <tableStyleElement dxfId="8" type="headerRow"/>
      <tableStyleElement dxfId="2" type="firstRowStripe"/>
      <tableStyleElement dxfId="2" type="secondRowStripe"/>
      <tableStyleElement dxfId="9"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Roboto"/>
              </a:defRPr>
            </a:pPr>
            <a:r>
              <a:rPr b="1" i="0">
                <a:solidFill>
                  <a:srgbClr val="757575"/>
                </a:solidFill>
                <a:latin typeface="Roboto"/>
              </a:rPr>
              <a:t>Estatus de Ejecución</a:t>
            </a:r>
          </a:p>
        </c:rich>
      </c:tx>
      <c:overlay val="0"/>
    </c:title>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dPt>
          <c:dLbls>
            <c:showLegendKey val="0"/>
            <c:showVal val="0"/>
            <c:showCatName val="0"/>
            <c:showSerName val="0"/>
            <c:showPercent val="0"/>
            <c:showBubbleSize val="0"/>
            <c:showLeaderLines val="1"/>
          </c:dLbls>
          <c:cat>
            <c:strRef>
              <c:f>'6. Reporte Cierre QA'!$A$9:$A$13</c:f>
            </c:strRef>
          </c:cat>
          <c:val>
            <c:numRef>
              <c:f>'6. Reporte Cierre QA'!$B$9:$B$13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Roboto"/>
              </a:defRPr>
            </a:pPr>
            <a:r>
              <a:rPr b="0" i="0">
                <a:solidFill>
                  <a:srgbClr val="757575"/>
                </a:solidFill>
                <a:latin typeface="Roboto"/>
              </a:rPr>
              <a:t>Métricas de Defectos</a:t>
            </a:r>
          </a:p>
        </c:rich>
      </c:tx>
      <c:overlay val="0"/>
    </c:title>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'6. Reporte Cierre QA'!$E$9:$E$13</c:f>
            </c:strRef>
          </c:cat>
          <c:val>
            <c:numRef>
              <c:f>'6. Reporte Cierre QA'!$F$9:$F$13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Roboto"/>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xdr:row>
      <xdr:rowOff>0</xdr:rowOff>
    </xdr:from>
    <xdr:ext cx="4314825" cy="2333625"/>
    <xdr:graphicFrame>
      <xdr:nvGraphicFramePr>
        <xdr:cNvPr id="1" name="Chart 1" title="Estatus de Ejecución"/>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876300</xdr:colOff>
      <xdr:row>15</xdr:row>
      <xdr:rowOff>0</xdr:rowOff>
    </xdr:from>
    <xdr:ext cx="3810000" cy="2857500"/>
    <xdr:graphicFrame>
      <xdr:nvGraphicFramePr>
        <xdr:cNvPr id="2" name="Chart 2" title="Métricas de Defectos"/>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4:F21" displayName="ParticionesEquivalentes" name="ParticionesEquivalentes" id="2">
  <tableColumns count="6">
    <tableColumn name="Campo / Entidad" id="1"/>
    <tableColumn name="Clase de Entrada" id="2"/>
    <tableColumn name="Rango / Condición Evaluada" id="3"/>
    <tableColumn name="Tipo de Partición" id="4"/>
    <tableColumn name="Valor de Prueba (Ejemplo)" id="5"/>
    <tableColumn name="Resultado Esperado" id="6"/>
  </tableColumns>
  <tableStyleInfo name="2. Particiones Equivalentes-style" showColumnStripes="0" showFirstColumn="1" showLastColumn="1" showRowStripes="1"/>
</table>
</file>

<file path=xl/tables/table2.xml><?xml version="1.0" encoding="utf-8"?>
<table xmlns="http://schemas.openxmlformats.org/spreadsheetml/2006/main" ref="A4:F13" displayName="TablaDecision" name="TablaDecision" id="1">
  <tableColumns count="6">
    <tableColumn name="Condiciones / Reglas de Negocio" id="1"/>
    <tableColumn name="Regla 1 (Éxito)" id="2"/>
    <tableColumn name="Regla 2 (Vacíos)" id="3"/>
    <tableColumn name="Regla 3 (Pass Inválida)" id="4"/>
    <tableColumn name="Regla 4 (Term. No Acept.)" id="5"/>
    <tableColumn name="Regla 5 (Correo Dup.)" id="6"/>
  </tableColumns>
  <tableStyleInfo name="3. Tabla de Decisión-style" showColumnStripes="0" showFirstColumn="1" showLastColumn="1" showRowStripes="1"/>
</table>
</file>

<file path=xl/tables/table3.xml><?xml version="1.0" encoding="utf-8"?>
<table xmlns="http://schemas.openxmlformats.org/spreadsheetml/2006/main" ref="A1:H63" displayName="Table1" name="Table1" id="3">
  <tableColumns count="8">
    <tableColumn name="ID" id="1"/>
    <tableColumn name="RF" id="2"/>
    <tableColumn name="DADO" id="3"/>
    <tableColumn name="CUANDO" id="4"/>
    <tableColumn name="ENTONCES" id="5"/>
    <tableColumn name="RESPONSABLE" id="6"/>
    <tableColumn name="Estatus" id="7"/>
    <tableColumn name="OBSERVACIONES" id="8"/>
  </tableColumns>
  <tableStyleInfo name="4. Matriz Casos de Prueba-style" showColumnStripes="0" showFirstColumn="1" showLastColumn="1" showRowStripes="1"/>
</table>
</file>

<file path=xl/tables/table4.xml><?xml version="1.0" encoding="utf-8"?>
<table xmlns="http://schemas.openxmlformats.org/spreadsheetml/2006/main" ref="A1:J21" displayName="Table2" name="Table2" id="4">
  <tableColumns count="10">
    <tableColumn name="ID Incidente" id="1"/>
    <tableColumn name="RF" id="2"/>
    <tableColumn name="DESCRIPCIÓN DEL INCIDENTE" id="3"/>
    <tableColumn name="CRITICIDAD" id="4"/>
    <tableColumn name="REPORTA" id="5"/>
    <tableColumn name="FECHA DE REPORTE" id="6"/>
    <tableColumn name="FECHA DE ENTREGA" id="7"/>
    <tableColumn name="ESTATUS" id="8"/>
    <tableColumn name="EVIDENCIA" id="9"/>
    <tableColumn name="COMENTARIOS" id="10"/>
  </tableColumns>
  <tableStyleInfo name="5. Incidencias y Bug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usuariodominio.com" TargetMode="External"/><Relationship Id="rId2" Type="http://schemas.openxmlformats.org/officeDocument/2006/relationships/drawing" Target="../drawings/drawing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1" Type="http://schemas.openxmlformats.org/officeDocument/2006/relationships/hyperlink" Target="https://drive.google.com/file/d/1D7j1LlCuDOhqhAxIoRmBEufRISO7thcm/view?usp=sharing" TargetMode="External"/><Relationship Id="rId10" Type="http://schemas.openxmlformats.org/officeDocument/2006/relationships/hyperlink" Target="https://drive.google.com/file/d/1HEmQx4N8zpet0BJhr1-KAI_9Se7WE6sh/view?usp=sharing" TargetMode="External"/><Relationship Id="rId13" Type="http://schemas.openxmlformats.org/officeDocument/2006/relationships/hyperlink" Target="https://drive.google.com/file/d/1b57wPzGjE3PrdBTNp2KaLyEvRg4NPvi2/view?usp=sharing" TargetMode="External"/><Relationship Id="rId12" Type="http://schemas.openxmlformats.org/officeDocument/2006/relationships/hyperlink" Target="https://drive.google.com/file/d/1E-ICn50A4gsQW36bPmIy-xRBqZtckdm4/view?usp=sharing" TargetMode="External"/><Relationship Id="rId1" Type="http://schemas.openxmlformats.org/officeDocument/2006/relationships/hyperlink" Target="https://drive.google.com/file/d/1sb36438cOgEQR5NSVK_65cGDg4Y32NSm/view?usp=sharing" TargetMode="External"/><Relationship Id="rId2" Type="http://schemas.openxmlformats.org/officeDocument/2006/relationships/hyperlink" Target="https://drive.google.com/file/d/1Q2NjRGz4tpjTurWkpwfezxc7jT6a82pe/view?usp=sharing" TargetMode="External"/><Relationship Id="rId3" Type="http://schemas.openxmlformats.org/officeDocument/2006/relationships/hyperlink" Target="https://drive.google.com/file/d/1lDmM1mg-NtydgW7hOJ4icz6rMLyZIdhr/view?usp=sharing" TargetMode="External"/><Relationship Id="rId4" Type="http://schemas.openxmlformats.org/officeDocument/2006/relationships/hyperlink" Target="https://drive.google.com/file/d/1O10Tlc2OUNJTlXJ2zchAWMDYA6cJgC5E/view?usp=sharing" TargetMode="External"/><Relationship Id="rId9" Type="http://schemas.openxmlformats.org/officeDocument/2006/relationships/hyperlink" Target="https://drive.google.com/file/d/1bCxLvwe20GfyN0OOLpfDLFpXKqvMCF6I/view?usp=sharing" TargetMode="External"/><Relationship Id="rId14" Type="http://schemas.openxmlformats.org/officeDocument/2006/relationships/drawing" Target="../drawings/drawing6.xml"/><Relationship Id="rId16" Type="http://schemas.openxmlformats.org/officeDocument/2006/relationships/table" Target="../tables/table4.xml"/><Relationship Id="rId5" Type="http://schemas.openxmlformats.org/officeDocument/2006/relationships/hyperlink" Target="https://drive.google.com/file/d/1O-43gZYdMbwFzZ73UGGQkMgvs1yRteCM/view?usp=sharing" TargetMode="External"/><Relationship Id="rId6" Type="http://schemas.openxmlformats.org/officeDocument/2006/relationships/hyperlink" Target="https://drive.google.com/file/d/1V3QR8NwX3VdR9JtDpfWgtu0nbPS2nVaM/view?usp=sharing" TargetMode="External"/><Relationship Id="rId7" Type="http://schemas.openxmlformats.org/officeDocument/2006/relationships/hyperlink" Target="https://drive.google.com/file/d/1oUIZOr5KJxHQtefxnvoW5N3j6ldpqt8S/view?usp=sharing" TargetMode="External"/><Relationship Id="rId8" Type="http://schemas.openxmlformats.org/officeDocument/2006/relationships/hyperlink" Target="https://drive.google.com/file/d/1vdgYIJqb4DqtTEyw0iUOdIBMqzoMmy16/view?usp=sharing"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6.25"/>
    <col customWidth="1" min="2" max="6" width="7.63"/>
  </cols>
  <sheetData>
    <row r="1">
      <c r="A1" s="1" t="s">
        <v>0</v>
      </c>
      <c r="B1" s="2"/>
      <c r="C1" s="2"/>
      <c r="D1" s="2"/>
      <c r="E1" s="3"/>
      <c r="F1" s="4"/>
    </row>
    <row r="2">
      <c r="A2" s="6" t="s">
        <v>2</v>
      </c>
      <c r="B2" s="8"/>
      <c r="C2" s="8"/>
      <c r="D2" s="8"/>
      <c r="E2" s="9"/>
      <c r="F2" s="11"/>
    </row>
    <row r="3">
      <c r="A3" s="12"/>
      <c r="B3" s="13"/>
      <c r="C3" s="13"/>
      <c r="D3" s="13"/>
      <c r="E3" s="9"/>
      <c r="F3" s="11"/>
    </row>
    <row r="4">
      <c r="A4" s="15" t="s">
        <v>4</v>
      </c>
      <c r="F4" s="16"/>
    </row>
    <row r="5">
      <c r="A5" s="18" t="s">
        <v>5</v>
      </c>
      <c r="B5" s="20"/>
      <c r="C5" s="23"/>
      <c r="D5" s="26" t="s">
        <v>9</v>
      </c>
      <c r="E5" s="28"/>
      <c r="F5" s="30"/>
    </row>
    <row r="6">
      <c r="A6" s="12"/>
      <c r="B6" s="13"/>
      <c r="C6" s="13"/>
      <c r="D6" s="13"/>
      <c r="E6" s="9"/>
      <c r="F6" s="11"/>
    </row>
    <row r="7">
      <c r="A7" s="32" t="s">
        <v>14</v>
      </c>
      <c r="B7" s="13"/>
      <c r="C7" s="13"/>
      <c r="D7" s="34" t="s">
        <v>15</v>
      </c>
      <c r="E7" s="9"/>
      <c r="F7" s="11"/>
    </row>
    <row r="8">
      <c r="A8" s="37" t="s">
        <v>18</v>
      </c>
      <c r="B8" s="28"/>
      <c r="C8" s="38"/>
      <c r="D8" s="26" t="s">
        <v>21</v>
      </c>
      <c r="E8" s="28"/>
      <c r="F8" s="30"/>
    </row>
    <row r="9">
      <c r="A9" s="15" t="s">
        <v>23</v>
      </c>
      <c r="F9" s="16"/>
    </row>
    <row r="10">
      <c r="A10" s="40" t="s">
        <v>26</v>
      </c>
      <c r="B10" s="13"/>
      <c r="C10" s="13"/>
      <c r="D10" s="13"/>
      <c r="E10" s="9"/>
      <c r="F10" s="11"/>
    </row>
    <row r="11" ht="72.0" customHeight="1">
      <c r="A11" s="42" t="s">
        <v>30</v>
      </c>
      <c r="B11" s="43"/>
      <c r="C11" s="43"/>
      <c r="D11" s="43"/>
      <c r="E11" s="43"/>
      <c r="F11" s="44"/>
    </row>
    <row r="12">
      <c r="A12" s="47"/>
      <c r="B12" s="49"/>
      <c r="C12" s="49"/>
      <c r="D12" s="49"/>
      <c r="E12" s="49"/>
      <c r="F12" s="51"/>
    </row>
    <row r="13">
      <c r="A13" s="12"/>
      <c r="B13" s="13"/>
      <c r="C13" s="13"/>
      <c r="D13" s="13"/>
      <c r="E13" s="9"/>
      <c r="F13" s="11"/>
    </row>
    <row r="14">
      <c r="A14" s="54" t="s">
        <v>41</v>
      </c>
      <c r="B14" s="57"/>
      <c r="C14" s="57"/>
      <c r="D14" s="57"/>
      <c r="E14" s="57"/>
      <c r="F14" s="59"/>
    </row>
    <row r="15" ht="15.75" customHeight="1">
      <c r="A15" s="62" t="s">
        <v>53</v>
      </c>
      <c r="B15" s="63"/>
      <c r="C15" s="63"/>
      <c r="D15" s="63"/>
      <c r="E15" s="63"/>
      <c r="F15" s="64"/>
    </row>
    <row r="16" ht="15.75" customHeight="1">
      <c r="A16" s="65"/>
      <c r="F16" s="16"/>
    </row>
    <row r="17" ht="15.75" customHeight="1">
      <c r="A17" s="65"/>
      <c r="F17" s="16"/>
    </row>
    <row r="18" ht="36.0" customHeight="1">
      <c r="A18" s="67"/>
      <c r="B18" s="68"/>
      <c r="C18" s="68"/>
      <c r="D18" s="68"/>
      <c r="E18" s="68"/>
      <c r="F18" s="69"/>
    </row>
    <row r="19" ht="15.75" customHeight="1">
      <c r="A19" s="12"/>
      <c r="B19" s="13"/>
      <c r="C19" s="13"/>
      <c r="D19" s="13"/>
      <c r="E19" s="9"/>
      <c r="F19" s="11"/>
    </row>
    <row r="20" ht="15.75" customHeight="1">
      <c r="A20" s="54" t="s">
        <v>57</v>
      </c>
      <c r="B20" s="57"/>
      <c r="C20" s="57"/>
      <c r="D20" s="57"/>
      <c r="E20" s="57"/>
      <c r="F20" s="59"/>
    </row>
    <row r="21" ht="15.75" customHeight="1">
      <c r="A21" s="42" t="s">
        <v>58</v>
      </c>
      <c r="B21" s="43"/>
      <c r="C21" s="43"/>
      <c r="D21" s="43"/>
      <c r="E21" s="43"/>
      <c r="F21" s="44"/>
    </row>
    <row r="22" ht="15.75" customHeight="1">
      <c r="A22" s="70"/>
      <c r="B22" s="71"/>
      <c r="C22" s="71"/>
      <c r="D22" s="71"/>
      <c r="E22" s="71"/>
      <c r="F22" s="72"/>
    </row>
    <row r="23" ht="15.75" customHeight="1">
      <c r="A23" s="73"/>
      <c r="B23" s="13"/>
      <c r="C23" s="13"/>
      <c r="D23" s="13"/>
      <c r="E23" s="9"/>
      <c r="F23" s="74"/>
    </row>
    <row r="24" ht="15.75" customHeight="1">
      <c r="A24" s="76"/>
      <c r="B24" s="76"/>
      <c r="C24" s="76"/>
      <c r="D24" s="76"/>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4:F4"/>
    <mergeCell ref="D5:F5"/>
    <mergeCell ref="A8:C8"/>
    <mergeCell ref="D8:F8"/>
    <mergeCell ref="A9:F9"/>
    <mergeCell ref="A15:F18"/>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75"/>
    <col customWidth="1" min="2" max="2" width="19.63"/>
    <col customWidth="1" min="3" max="3" width="33.0"/>
    <col customWidth="1" min="4" max="4" width="23.5"/>
    <col customWidth="1" min="5" max="5" width="38.63"/>
    <col customWidth="1" min="6" max="6" width="40.13"/>
    <col customWidth="1" min="7" max="8" width="7.63"/>
  </cols>
  <sheetData>
    <row r="1">
      <c r="A1" s="21" t="s">
        <v>7</v>
      </c>
      <c r="B1" s="24"/>
      <c r="C1" s="24"/>
      <c r="D1" s="24"/>
      <c r="E1" s="24"/>
      <c r="F1" s="29"/>
    </row>
    <row r="2">
      <c r="A2" s="31"/>
      <c r="B2" s="33"/>
      <c r="C2" s="33"/>
      <c r="D2" s="33"/>
      <c r="E2" s="33"/>
      <c r="F2" s="36"/>
    </row>
    <row r="3">
      <c r="A3" s="39"/>
      <c r="B3" s="33"/>
      <c r="C3" s="33"/>
      <c r="D3" s="33"/>
      <c r="E3" s="33"/>
      <c r="F3" s="36"/>
    </row>
    <row r="4" ht="22.5" customHeight="1">
      <c r="A4" s="35" t="s">
        <v>25</v>
      </c>
      <c r="B4" s="35" t="s">
        <v>33</v>
      </c>
      <c r="C4" s="35" t="s">
        <v>34</v>
      </c>
      <c r="D4" s="35" t="s">
        <v>36</v>
      </c>
      <c r="E4" s="35" t="s">
        <v>39</v>
      </c>
      <c r="F4" s="35" t="s">
        <v>45</v>
      </c>
    </row>
    <row r="5" ht="53.25" customHeight="1">
      <c r="A5" s="61" t="s">
        <v>50</v>
      </c>
      <c r="B5" s="66" t="s">
        <v>55</v>
      </c>
      <c r="C5" s="66" t="s">
        <v>56</v>
      </c>
      <c r="D5" s="75" t="s">
        <v>60</v>
      </c>
      <c r="E5" s="66" t="s">
        <v>61</v>
      </c>
      <c r="F5" s="78" t="s">
        <v>62</v>
      </c>
      <c r="H5" s="79"/>
    </row>
    <row r="6" ht="50.25" customHeight="1">
      <c r="A6" s="81" t="s">
        <v>50</v>
      </c>
      <c r="B6" s="83" t="s">
        <v>64</v>
      </c>
      <c r="C6" s="83" t="s">
        <v>65</v>
      </c>
      <c r="D6" s="86" t="s">
        <v>66</v>
      </c>
      <c r="E6" s="83" t="s">
        <v>67</v>
      </c>
      <c r="F6" s="89" t="s">
        <v>69</v>
      </c>
      <c r="H6" s="79"/>
    </row>
    <row r="7" ht="57.75" customHeight="1">
      <c r="A7" s="81" t="s">
        <v>50</v>
      </c>
      <c r="B7" s="83" t="s">
        <v>74</v>
      </c>
      <c r="C7" s="83" t="s">
        <v>75</v>
      </c>
      <c r="D7" s="86" t="s">
        <v>66</v>
      </c>
      <c r="E7" s="83" t="s">
        <v>76</v>
      </c>
      <c r="F7" s="89" t="s">
        <v>77</v>
      </c>
      <c r="H7" s="79"/>
    </row>
    <row r="8" ht="85.5" customHeight="1">
      <c r="A8" s="81" t="s">
        <v>78</v>
      </c>
      <c r="B8" s="83" t="s">
        <v>79</v>
      </c>
      <c r="C8" s="83" t="s">
        <v>80</v>
      </c>
      <c r="D8" s="86" t="s">
        <v>60</v>
      </c>
      <c r="E8" s="83" t="s">
        <v>82</v>
      </c>
      <c r="F8" s="89" t="s">
        <v>83</v>
      </c>
      <c r="H8" s="79"/>
    </row>
    <row r="9" ht="42.75" customHeight="1">
      <c r="A9" s="81" t="s">
        <v>78</v>
      </c>
      <c r="B9" s="83" t="s">
        <v>84</v>
      </c>
      <c r="C9" s="83" t="s">
        <v>87</v>
      </c>
      <c r="D9" s="86" t="s">
        <v>66</v>
      </c>
      <c r="E9" s="98" t="s">
        <v>89</v>
      </c>
      <c r="F9" s="89" t="s">
        <v>91</v>
      </c>
      <c r="H9" s="79"/>
    </row>
    <row r="10" ht="48.75" customHeight="1">
      <c r="A10" s="81" t="s">
        <v>78</v>
      </c>
      <c r="B10" s="83" t="s">
        <v>74</v>
      </c>
      <c r="C10" s="83" t="s">
        <v>75</v>
      </c>
      <c r="D10" s="86" t="s">
        <v>66</v>
      </c>
      <c r="E10" s="83" t="s">
        <v>76</v>
      </c>
      <c r="F10" s="89" t="s">
        <v>77</v>
      </c>
      <c r="H10" s="79"/>
    </row>
    <row r="11" ht="51.75" customHeight="1">
      <c r="A11" s="81" t="s">
        <v>97</v>
      </c>
      <c r="B11" s="83" t="s">
        <v>98</v>
      </c>
      <c r="C11" s="83" t="s">
        <v>99</v>
      </c>
      <c r="D11" s="86" t="s">
        <v>60</v>
      </c>
      <c r="E11" s="83" t="s">
        <v>100</v>
      </c>
      <c r="F11" s="89" t="s">
        <v>104</v>
      </c>
      <c r="H11" s="79"/>
    </row>
    <row r="12" ht="54.0" customHeight="1">
      <c r="A12" s="81" t="s">
        <v>97</v>
      </c>
      <c r="B12" s="83" t="s">
        <v>105</v>
      </c>
      <c r="C12" s="83" t="s">
        <v>106</v>
      </c>
      <c r="D12" s="86" t="s">
        <v>66</v>
      </c>
      <c r="E12" s="83" t="s">
        <v>107</v>
      </c>
      <c r="F12" s="89" t="s">
        <v>108</v>
      </c>
      <c r="H12" s="79"/>
    </row>
    <row r="13" ht="57.0" customHeight="1">
      <c r="A13" s="81" t="s">
        <v>97</v>
      </c>
      <c r="B13" s="83" t="s">
        <v>112</v>
      </c>
      <c r="C13" s="83" t="s">
        <v>113</v>
      </c>
      <c r="D13" s="86" t="s">
        <v>66</v>
      </c>
      <c r="E13" s="83" t="s">
        <v>114</v>
      </c>
      <c r="F13" s="89" t="s">
        <v>115</v>
      </c>
      <c r="H13" s="79"/>
    </row>
    <row r="14" ht="45.0" customHeight="1">
      <c r="A14" s="81" t="s">
        <v>97</v>
      </c>
      <c r="B14" s="83" t="s">
        <v>119</v>
      </c>
      <c r="C14" s="83" t="s">
        <v>120</v>
      </c>
      <c r="D14" s="86" t="s">
        <v>66</v>
      </c>
      <c r="E14" s="83" t="s">
        <v>121</v>
      </c>
      <c r="F14" s="89" t="s">
        <v>122</v>
      </c>
      <c r="H14" s="79"/>
    </row>
    <row r="15" ht="60.75" customHeight="1">
      <c r="A15" s="81" t="s">
        <v>97</v>
      </c>
      <c r="B15" s="83" t="s">
        <v>127</v>
      </c>
      <c r="C15" s="83" t="s">
        <v>129</v>
      </c>
      <c r="D15" s="86" t="s">
        <v>66</v>
      </c>
      <c r="E15" s="83" t="s">
        <v>132</v>
      </c>
      <c r="F15" s="89" t="s">
        <v>135</v>
      </c>
      <c r="H15" s="79"/>
    </row>
    <row r="16" ht="56.25" customHeight="1">
      <c r="A16" s="81" t="s">
        <v>97</v>
      </c>
      <c r="B16" s="83" t="s">
        <v>138</v>
      </c>
      <c r="C16" s="83" t="s">
        <v>140</v>
      </c>
      <c r="D16" s="86" t="s">
        <v>66</v>
      </c>
      <c r="E16" s="83" t="s">
        <v>142</v>
      </c>
      <c r="F16" s="89" t="s">
        <v>143</v>
      </c>
      <c r="H16" s="79"/>
    </row>
    <row r="17" ht="55.5" customHeight="1">
      <c r="A17" s="81" t="s">
        <v>144</v>
      </c>
      <c r="B17" s="83" t="s">
        <v>145</v>
      </c>
      <c r="C17" s="83" t="s">
        <v>147</v>
      </c>
      <c r="D17" s="86" t="s">
        <v>60</v>
      </c>
      <c r="E17" s="115">
        <v>5.512345678E9</v>
      </c>
      <c r="F17" s="89" t="s">
        <v>151</v>
      </c>
      <c r="H17" s="79"/>
    </row>
    <row r="18" ht="67.5" customHeight="1">
      <c r="A18" s="81" t="s">
        <v>144</v>
      </c>
      <c r="B18" s="83" t="s">
        <v>74</v>
      </c>
      <c r="C18" s="83" t="s">
        <v>153</v>
      </c>
      <c r="D18" s="86" t="s">
        <v>60</v>
      </c>
      <c r="E18" s="83" t="s">
        <v>76</v>
      </c>
      <c r="F18" s="89" t="s">
        <v>155</v>
      </c>
      <c r="H18" s="79"/>
    </row>
    <row r="19" ht="75.0" customHeight="1">
      <c r="A19" s="81" t="s">
        <v>156</v>
      </c>
      <c r="B19" s="83" t="s">
        <v>158</v>
      </c>
      <c r="C19" s="83" t="s">
        <v>160</v>
      </c>
      <c r="D19" s="86" t="s">
        <v>60</v>
      </c>
      <c r="E19" s="83" t="s">
        <v>163</v>
      </c>
      <c r="F19" s="89" t="s">
        <v>164</v>
      </c>
      <c r="H19" s="79"/>
    </row>
    <row r="20" ht="90.75" customHeight="1">
      <c r="A20" s="81" t="s">
        <v>156</v>
      </c>
      <c r="B20" s="83" t="s">
        <v>168</v>
      </c>
      <c r="C20" s="83" t="s">
        <v>170</v>
      </c>
      <c r="D20" s="121" t="s">
        <v>66</v>
      </c>
      <c r="E20" s="83" t="s">
        <v>178</v>
      </c>
      <c r="F20" s="89" t="s">
        <v>182</v>
      </c>
      <c r="H20" s="79"/>
    </row>
    <row r="21" ht="15.75" customHeight="1">
      <c r="A21" s="124"/>
      <c r="B21" s="126"/>
      <c r="C21" s="126"/>
      <c r="D21" s="128"/>
      <c r="E21" s="126"/>
      <c r="F21" s="130"/>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D5:D20">
      <formula1>"Válida,Inválida"</formula1>
    </dataValidation>
  </dataValidations>
  <hyperlinks>
    <hyperlink r:id="rId1" ref="E9"/>
  </hyperlinks>
  <printOptions/>
  <pageMargins bottom="1.0" footer="0.0" header="0.0" left="0.75" right="0.75" top="1.0"/>
  <pageSetup orientation="landscape"/>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3.88"/>
    <col customWidth="1" min="2" max="2" width="20.13"/>
    <col customWidth="1" min="3" max="3" width="14.88"/>
    <col customWidth="1" min="4" max="4" width="21.88"/>
    <col customWidth="1" min="5" max="5" width="29.88"/>
    <col customWidth="1" min="6" max="6" width="22.5"/>
  </cols>
  <sheetData>
    <row r="1">
      <c r="A1" s="19" t="s">
        <v>6</v>
      </c>
      <c r="E1" s="22"/>
    </row>
    <row r="2">
      <c r="A2" s="25"/>
      <c r="E2" s="22"/>
    </row>
    <row r="3">
      <c r="E3" s="22"/>
    </row>
    <row r="4" ht="22.5" customHeight="1">
      <c r="A4" s="35" t="s">
        <v>12</v>
      </c>
      <c r="B4" s="35" t="s">
        <v>17</v>
      </c>
      <c r="C4" s="35" t="s">
        <v>20</v>
      </c>
      <c r="D4" s="35" t="s">
        <v>22</v>
      </c>
      <c r="E4" s="41" t="s">
        <v>28</v>
      </c>
      <c r="F4" s="45" t="s">
        <v>32</v>
      </c>
    </row>
    <row r="5" ht="22.5" customHeight="1">
      <c r="A5" s="50" t="s">
        <v>35</v>
      </c>
      <c r="B5" s="53" t="s">
        <v>38</v>
      </c>
      <c r="C5" s="53" t="s">
        <v>47</v>
      </c>
      <c r="D5" s="56" t="s">
        <v>38</v>
      </c>
      <c r="E5" s="60" t="s">
        <v>38</v>
      </c>
      <c r="F5" s="53" t="s">
        <v>38</v>
      </c>
    </row>
    <row r="6" ht="22.5" customHeight="1">
      <c r="A6" s="50" t="s">
        <v>54</v>
      </c>
      <c r="B6" s="53" t="s">
        <v>38</v>
      </c>
      <c r="C6" s="53" t="s">
        <v>38</v>
      </c>
      <c r="D6" s="56" t="s">
        <v>47</v>
      </c>
      <c r="E6" s="60" t="s">
        <v>38</v>
      </c>
      <c r="F6" s="53" t="s">
        <v>38</v>
      </c>
    </row>
    <row r="7" ht="22.5" customHeight="1">
      <c r="A7" s="50" t="s">
        <v>59</v>
      </c>
      <c r="B7" s="53" t="s">
        <v>38</v>
      </c>
      <c r="C7" s="53" t="s">
        <v>38</v>
      </c>
      <c r="D7" s="56" t="s">
        <v>38</v>
      </c>
      <c r="E7" s="60" t="s">
        <v>47</v>
      </c>
      <c r="F7" s="53" t="s">
        <v>38</v>
      </c>
    </row>
    <row r="8" ht="22.5" customHeight="1">
      <c r="A8" s="80" t="s">
        <v>63</v>
      </c>
      <c r="B8" s="82" t="s">
        <v>38</v>
      </c>
      <c r="C8" s="82" t="s">
        <v>38</v>
      </c>
      <c r="D8" s="85" t="s">
        <v>38</v>
      </c>
      <c r="E8" s="88" t="s">
        <v>38</v>
      </c>
      <c r="F8" s="90" t="s">
        <v>47</v>
      </c>
    </row>
    <row r="9" ht="22.5" customHeight="1">
      <c r="A9" s="91" t="s">
        <v>73</v>
      </c>
      <c r="B9" s="92"/>
      <c r="C9" s="92"/>
      <c r="D9" s="92"/>
      <c r="E9" s="91"/>
      <c r="F9" s="93"/>
    </row>
    <row r="10" ht="22.5" customHeight="1">
      <c r="A10" s="94" t="s">
        <v>81</v>
      </c>
      <c r="B10" s="53" t="s">
        <v>38</v>
      </c>
      <c r="C10" s="53" t="s">
        <v>47</v>
      </c>
      <c r="D10" s="53" t="s">
        <v>47</v>
      </c>
      <c r="E10" s="95" t="s">
        <v>47</v>
      </c>
      <c r="F10" s="53" t="s">
        <v>47</v>
      </c>
    </row>
    <row r="11" ht="22.5" customHeight="1">
      <c r="A11" s="96" t="s">
        <v>90</v>
      </c>
      <c r="B11" s="97" t="s">
        <v>47</v>
      </c>
      <c r="C11" s="97" t="s">
        <v>38</v>
      </c>
      <c r="D11" s="97" t="s">
        <v>47</v>
      </c>
      <c r="E11" s="99" t="s">
        <v>38</v>
      </c>
      <c r="F11" s="97" t="s">
        <v>47</v>
      </c>
    </row>
    <row r="12" ht="22.5" customHeight="1">
      <c r="A12" s="100" t="s">
        <v>95</v>
      </c>
      <c r="B12" s="97" t="s">
        <v>47</v>
      </c>
      <c r="C12" s="97" t="s">
        <v>47</v>
      </c>
      <c r="D12" s="97" t="s">
        <v>38</v>
      </c>
      <c r="E12" s="99" t="s">
        <v>47</v>
      </c>
      <c r="F12" s="97" t="s">
        <v>47</v>
      </c>
    </row>
    <row r="13" ht="22.5" customHeight="1">
      <c r="A13" s="100" t="s">
        <v>96</v>
      </c>
      <c r="B13" s="97" t="s">
        <v>47</v>
      </c>
      <c r="C13" s="97" t="s">
        <v>47</v>
      </c>
      <c r="D13" s="97" t="s">
        <v>47</v>
      </c>
      <c r="E13" s="99" t="s">
        <v>47</v>
      </c>
      <c r="F13" s="97" t="s">
        <v>38</v>
      </c>
    </row>
    <row r="14">
      <c r="E14" s="22"/>
    </row>
    <row r="15">
      <c r="E15" s="22"/>
    </row>
    <row r="16">
      <c r="E16" s="101"/>
    </row>
    <row r="17">
      <c r="E17" s="22"/>
    </row>
    <row r="18">
      <c r="E18" s="22"/>
    </row>
    <row r="19">
      <c r="E19" s="22"/>
    </row>
    <row r="20">
      <c r="E20" s="22"/>
    </row>
    <row r="21" ht="15.75" customHeight="1">
      <c r="E21" s="22"/>
    </row>
    <row r="22" ht="15.75" customHeight="1">
      <c r="E22" s="22"/>
    </row>
    <row r="23" ht="15.75" customHeight="1">
      <c r="E23" s="22"/>
    </row>
    <row r="24" ht="15.75" customHeight="1">
      <c r="E24" s="22"/>
    </row>
    <row r="25" ht="15.75" customHeight="1">
      <c r="E25" s="22"/>
    </row>
    <row r="26" ht="15.75" customHeight="1">
      <c r="E26" s="22"/>
    </row>
    <row r="27" ht="15.75" customHeight="1">
      <c r="E27" s="22"/>
    </row>
    <row r="28" ht="15.75" customHeight="1">
      <c r="E28" s="22"/>
    </row>
    <row r="29" ht="15.75" customHeight="1">
      <c r="E29" s="22"/>
    </row>
    <row r="30" ht="15.75" customHeight="1">
      <c r="E30" s="22"/>
    </row>
    <row r="31" ht="15.75" customHeight="1">
      <c r="E31" s="22"/>
    </row>
    <row r="32" ht="15.75" customHeight="1">
      <c r="E32" s="22"/>
    </row>
    <row r="33" ht="15.75" customHeight="1">
      <c r="E33" s="22"/>
    </row>
    <row r="34" ht="15.75" customHeight="1">
      <c r="E34" s="22"/>
    </row>
    <row r="35" ht="15.75" customHeight="1">
      <c r="E35" s="22"/>
    </row>
    <row r="36" ht="15.75" customHeight="1">
      <c r="E36" s="22"/>
    </row>
    <row r="37" ht="15.75" customHeight="1">
      <c r="E37" s="22"/>
    </row>
    <row r="38" ht="15.75" customHeight="1">
      <c r="E38" s="22"/>
    </row>
    <row r="39" ht="15.75" customHeight="1">
      <c r="E39" s="22"/>
    </row>
    <row r="40" ht="15.75" customHeight="1">
      <c r="E40" s="22"/>
    </row>
    <row r="41" ht="15.75" customHeight="1">
      <c r="E41" s="22"/>
    </row>
    <row r="42" ht="15.75" customHeight="1">
      <c r="E42" s="22"/>
    </row>
    <row r="43" ht="15.75" customHeight="1">
      <c r="E43" s="22"/>
    </row>
    <row r="44" ht="15.75" customHeight="1">
      <c r="E44" s="22"/>
    </row>
    <row r="45" ht="15.75" customHeight="1">
      <c r="E45" s="22"/>
    </row>
    <row r="46" ht="15.75" customHeight="1">
      <c r="E46" s="22"/>
    </row>
    <row r="47" ht="15.75" customHeight="1">
      <c r="E47" s="22"/>
    </row>
    <row r="48" ht="15.75" customHeight="1">
      <c r="E48" s="22"/>
    </row>
    <row r="49" ht="15.75" customHeight="1">
      <c r="E49" s="22"/>
    </row>
    <row r="50" ht="15.75" customHeight="1">
      <c r="E50" s="22"/>
    </row>
    <row r="51" ht="15.75" customHeight="1">
      <c r="E51" s="22"/>
    </row>
    <row r="52" ht="15.75" customHeight="1">
      <c r="E52" s="22"/>
    </row>
    <row r="53" ht="15.75" customHeight="1">
      <c r="E53" s="22"/>
    </row>
    <row r="54" ht="15.75" customHeight="1">
      <c r="E54" s="22"/>
    </row>
    <row r="55" ht="15.75" customHeight="1">
      <c r="E55" s="22"/>
    </row>
    <row r="56" ht="15.75" customHeight="1">
      <c r="E56" s="22"/>
    </row>
    <row r="57" ht="15.75" customHeight="1">
      <c r="E57" s="22"/>
    </row>
    <row r="58" ht="15.75" customHeight="1">
      <c r="E58" s="22"/>
    </row>
    <row r="59" ht="15.75" customHeight="1">
      <c r="E59" s="22"/>
    </row>
    <row r="60" ht="15.75" customHeight="1">
      <c r="E60" s="22"/>
    </row>
    <row r="61" ht="15.75" customHeight="1">
      <c r="E61" s="22"/>
    </row>
    <row r="62" ht="15.75" customHeight="1">
      <c r="E62" s="22"/>
    </row>
    <row r="63" ht="15.75" customHeight="1">
      <c r="E63" s="22"/>
    </row>
    <row r="64" ht="15.75" customHeight="1">
      <c r="E64" s="22"/>
    </row>
    <row r="65" ht="15.75" customHeight="1">
      <c r="E65" s="22"/>
    </row>
    <row r="66" ht="15.75" customHeight="1">
      <c r="E66" s="22"/>
    </row>
    <row r="67" ht="15.75" customHeight="1">
      <c r="E67" s="22"/>
    </row>
    <row r="68" ht="15.75" customHeight="1">
      <c r="E68" s="22"/>
    </row>
    <row r="69" ht="15.75" customHeight="1">
      <c r="E69" s="22"/>
    </row>
    <row r="70" ht="15.75" customHeight="1">
      <c r="E70" s="22"/>
    </row>
    <row r="71" ht="15.75" customHeight="1">
      <c r="E71" s="22"/>
    </row>
    <row r="72" ht="15.75" customHeight="1">
      <c r="E72" s="22"/>
    </row>
    <row r="73" ht="15.75" customHeight="1">
      <c r="E73" s="22"/>
    </row>
    <row r="74" ht="15.75" customHeight="1">
      <c r="E74" s="22"/>
    </row>
    <row r="75" ht="15.75" customHeight="1">
      <c r="E75" s="22"/>
    </row>
    <row r="76" ht="15.75" customHeight="1">
      <c r="E76" s="22"/>
    </row>
    <row r="77" ht="15.75" customHeight="1">
      <c r="E77" s="22"/>
    </row>
    <row r="78" ht="15.75" customHeight="1">
      <c r="E78" s="22"/>
    </row>
    <row r="79" ht="15.75" customHeight="1">
      <c r="E79" s="22"/>
    </row>
    <row r="80" ht="15.75" customHeight="1">
      <c r="E80" s="22"/>
    </row>
    <row r="81" ht="15.75" customHeight="1">
      <c r="E81" s="22"/>
    </row>
    <row r="82" ht="15.75" customHeight="1">
      <c r="E82" s="22"/>
    </row>
    <row r="83" ht="15.75" customHeight="1">
      <c r="E83" s="22"/>
    </row>
    <row r="84" ht="15.75" customHeight="1">
      <c r="E84" s="22"/>
    </row>
    <row r="85" ht="15.75" customHeight="1">
      <c r="E85" s="22"/>
    </row>
    <row r="86" ht="15.75" customHeight="1">
      <c r="E86" s="22"/>
    </row>
    <row r="87" ht="15.75" customHeight="1">
      <c r="E87" s="22"/>
    </row>
    <row r="88" ht="15.75" customHeight="1">
      <c r="E88" s="22"/>
    </row>
    <row r="89" ht="15.75" customHeight="1">
      <c r="E89" s="22"/>
    </row>
    <row r="90" ht="15.75" customHeight="1">
      <c r="E90" s="22"/>
    </row>
    <row r="91" ht="15.75" customHeight="1">
      <c r="E91" s="22"/>
    </row>
    <row r="92" ht="15.75" customHeight="1">
      <c r="E92" s="22"/>
    </row>
    <row r="93" ht="15.75" customHeight="1">
      <c r="E93" s="22"/>
    </row>
    <row r="94" ht="15.75" customHeight="1">
      <c r="E94" s="22"/>
    </row>
    <row r="95" ht="15.75" customHeight="1">
      <c r="E95" s="22"/>
    </row>
    <row r="96" ht="15.75" customHeight="1">
      <c r="E96" s="22"/>
    </row>
    <row r="97" ht="15.75" customHeight="1">
      <c r="E97" s="22"/>
    </row>
    <row r="98" ht="15.75" customHeight="1">
      <c r="E98" s="22"/>
    </row>
    <row r="99" ht="15.75" customHeight="1">
      <c r="E99" s="22"/>
    </row>
    <row r="100" ht="15.75" customHeight="1">
      <c r="E100" s="22"/>
    </row>
    <row r="101" ht="15.75" customHeight="1">
      <c r="E101" s="22"/>
    </row>
    <row r="102" ht="15.75" customHeight="1">
      <c r="E102" s="22"/>
    </row>
    <row r="103" ht="15.75" customHeight="1">
      <c r="E103" s="22"/>
    </row>
    <row r="104" ht="15.75" customHeight="1">
      <c r="E104" s="22"/>
    </row>
    <row r="105" ht="15.75" customHeight="1">
      <c r="E105" s="22"/>
    </row>
    <row r="106" ht="15.75" customHeight="1">
      <c r="E106" s="22"/>
    </row>
    <row r="107" ht="15.75" customHeight="1">
      <c r="E107" s="22"/>
    </row>
    <row r="108" ht="15.75" customHeight="1">
      <c r="E108" s="22"/>
    </row>
    <row r="109" ht="15.75" customHeight="1">
      <c r="E109" s="22"/>
    </row>
    <row r="110" ht="15.75" customHeight="1">
      <c r="E110" s="22"/>
    </row>
    <row r="111" ht="15.75" customHeight="1">
      <c r="E111" s="22"/>
    </row>
    <row r="112" ht="15.75" customHeight="1">
      <c r="E112" s="22"/>
    </row>
    <row r="113" ht="15.75" customHeight="1">
      <c r="E113" s="22"/>
    </row>
    <row r="114" ht="15.75" customHeight="1">
      <c r="E114" s="22"/>
    </row>
    <row r="115" ht="15.75" customHeight="1">
      <c r="E115" s="22"/>
    </row>
    <row r="116" ht="15.75" customHeight="1">
      <c r="E116" s="22"/>
    </row>
    <row r="117" ht="15.75" customHeight="1">
      <c r="E117" s="22"/>
    </row>
    <row r="118" ht="15.75" customHeight="1">
      <c r="E118" s="22"/>
    </row>
    <row r="119" ht="15.75" customHeight="1">
      <c r="E119" s="22"/>
    </row>
    <row r="120" ht="15.75" customHeight="1">
      <c r="E120" s="22"/>
    </row>
    <row r="121" ht="15.75" customHeight="1">
      <c r="E121" s="22"/>
    </row>
    <row r="122" ht="15.75" customHeight="1">
      <c r="E122" s="22"/>
    </row>
    <row r="123" ht="15.75" customHeight="1">
      <c r="E123" s="22"/>
    </row>
    <row r="124" ht="15.75" customHeight="1">
      <c r="E124" s="22"/>
    </row>
    <row r="125" ht="15.75" customHeight="1">
      <c r="E125" s="22"/>
    </row>
    <row r="126" ht="15.75" customHeight="1">
      <c r="E126" s="22"/>
    </row>
    <row r="127" ht="15.75" customHeight="1">
      <c r="E127" s="22"/>
    </row>
    <row r="128" ht="15.75" customHeight="1">
      <c r="E128" s="22"/>
    </row>
    <row r="129" ht="15.75" customHeight="1">
      <c r="E129" s="22"/>
    </row>
    <row r="130" ht="15.75" customHeight="1">
      <c r="E130" s="22"/>
    </row>
    <row r="131" ht="15.75" customHeight="1">
      <c r="E131" s="22"/>
    </row>
    <row r="132" ht="15.75" customHeight="1">
      <c r="E132" s="22"/>
    </row>
    <row r="133" ht="15.75" customHeight="1">
      <c r="E133" s="22"/>
    </row>
    <row r="134" ht="15.75" customHeight="1">
      <c r="E134" s="22"/>
    </row>
    <row r="135" ht="15.75" customHeight="1">
      <c r="E135" s="22"/>
    </row>
    <row r="136" ht="15.75" customHeight="1">
      <c r="E136" s="22"/>
    </row>
    <row r="137" ht="15.75" customHeight="1">
      <c r="E137" s="22"/>
    </row>
    <row r="138" ht="15.75" customHeight="1">
      <c r="E138" s="22"/>
    </row>
    <row r="139" ht="15.75" customHeight="1">
      <c r="E139" s="22"/>
    </row>
    <row r="140" ht="15.75" customHeight="1">
      <c r="E140" s="22"/>
    </row>
    <row r="141" ht="15.75" customHeight="1">
      <c r="E141" s="22"/>
    </row>
    <row r="142" ht="15.75" customHeight="1">
      <c r="E142" s="22"/>
    </row>
    <row r="143" ht="15.75" customHeight="1">
      <c r="E143" s="22"/>
    </row>
    <row r="144" ht="15.75" customHeight="1">
      <c r="E144" s="22"/>
    </row>
    <row r="145" ht="15.75" customHeight="1">
      <c r="E145" s="22"/>
    </row>
    <row r="146" ht="15.75" customHeight="1">
      <c r="E146" s="22"/>
    </row>
    <row r="147" ht="15.75" customHeight="1">
      <c r="E147" s="22"/>
    </row>
    <row r="148" ht="15.75" customHeight="1">
      <c r="E148" s="22"/>
    </row>
    <row r="149" ht="15.75" customHeight="1">
      <c r="E149" s="22"/>
    </row>
    <row r="150" ht="15.75" customHeight="1">
      <c r="E150" s="22"/>
    </row>
    <row r="151" ht="15.75" customHeight="1">
      <c r="E151" s="22"/>
    </row>
    <row r="152" ht="15.75" customHeight="1">
      <c r="E152" s="22"/>
    </row>
    <row r="153" ht="15.75" customHeight="1">
      <c r="E153" s="22"/>
    </row>
    <row r="154" ht="15.75" customHeight="1">
      <c r="E154" s="22"/>
    </row>
    <row r="155" ht="15.75" customHeight="1">
      <c r="E155" s="22"/>
    </row>
    <row r="156" ht="15.75" customHeight="1">
      <c r="E156" s="22"/>
    </row>
    <row r="157" ht="15.75" customHeight="1">
      <c r="E157" s="22"/>
    </row>
    <row r="158" ht="15.75" customHeight="1">
      <c r="E158" s="22"/>
    </row>
    <row r="159" ht="15.75" customHeight="1">
      <c r="E159" s="22"/>
    </row>
    <row r="160" ht="15.75" customHeight="1">
      <c r="E160" s="22"/>
    </row>
    <row r="161" ht="15.75" customHeight="1">
      <c r="E161" s="22"/>
    </row>
    <row r="162" ht="15.75" customHeight="1">
      <c r="E162" s="22"/>
    </row>
    <row r="163" ht="15.75" customHeight="1">
      <c r="E163" s="22"/>
    </row>
    <row r="164" ht="15.75" customHeight="1">
      <c r="E164" s="22"/>
    </row>
    <row r="165" ht="15.75" customHeight="1">
      <c r="E165" s="22"/>
    </row>
    <row r="166" ht="15.75" customHeight="1">
      <c r="E166" s="22"/>
    </row>
    <row r="167" ht="15.75" customHeight="1">
      <c r="E167" s="22"/>
    </row>
    <row r="168" ht="15.75" customHeight="1">
      <c r="E168" s="22"/>
    </row>
    <row r="169" ht="15.75" customHeight="1">
      <c r="E169" s="22"/>
    </row>
    <row r="170" ht="15.75" customHeight="1">
      <c r="E170" s="22"/>
    </row>
    <row r="171" ht="15.75" customHeight="1">
      <c r="E171" s="22"/>
    </row>
    <row r="172" ht="15.75" customHeight="1">
      <c r="E172" s="22"/>
    </row>
    <row r="173" ht="15.75" customHeight="1">
      <c r="E173" s="22"/>
    </row>
    <row r="174" ht="15.75" customHeight="1">
      <c r="E174" s="22"/>
    </row>
    <row r="175" ht="15.75" customHeight="1">
      <c r="E175" s="22"/>
    </row>
    <row r="176" ht="15.75" customHeight="1">
      <c r="E176" s="22"/>
    </row>
    <row r="177" ht="15.75" customHeight="1">
      <c r="E177" s="22"/>
    </row>
    <row r="178" ht="15.75" customHeight="1">
      <c r="E178" s="22"/>
    </row>
    <row r="179" ht="15.75" customHeight="1">
      <c r="E179" s="22"/>
    </row>
    <row r="180" ht="15.75" customHeight="1">
      <c r="E180" s="22"/>
    </row>
    <row r="181" ht="15.75" customHeight="1">
      <c r="E181" s="22"/>
    </row>
    <row r="182" ht="15.75" customHeight="1">
      <c r="E182" s="22"/>
    </row>
    <row r="183" ht="15.75" customHeight="1">
      <c r="E183" s="22"/>
    </row>
    <row r="184" ht="15.75" customHeight="1">
      <c r="E184" s="22"/>
    </row>
    <row r="185" ht="15.75" customHeight="1">
      <c r="E185" s="22"/>
    </row>
    <row r="186" ht="15.75" customHeight="1">
      <c r="E186" s="22"/>
    </row>
    <row r="187" ht="15.75" customHeight="1">
      <c r="E187" s="22"/>
    </row>
    <row r="188" ht="15.75" customHeight="1">
      <c r="E188" s="22"/>
    </row>
    <row r="189" ht="15.75" customHeight="1">
      <c r="E189" s="22"/>
    </row>
    <row r="190" ht="15.75" customHeight="1">
      <c r="E190" s="22"/>
    </row>
    <row r="191" ht="15.75" customHeight="1">
      <c r="E191" s="22"/>
    </row>
    <row r="192" ht="15.75" customHeight="1">
      <c r="E192" s="22"/>
    </row>
    <row r="193" ht="15.75" customHeight="1">
      <c r="E193" s="22"/>
    </row>
    <row r="194" ht="15.75" customHeight="1">
      <c r="E194" s="22"/>
    </row>
    <row r="195" ht="15.75" customHeight="1">
      <c r="E195" s="22"/>
    </row>
    <row r="196" ht="15.75" customHeight="1">
      <c r="E196" s="22"/>
    </row>
    <row r="197" ht="15.75" customHeight="1">
      <c r="E197" s="22"/>
    </row>
    <row r="198" ht="15.75" customHeight="1">
      <c r="E198" s="22"/>
    </row>
    <row r="199" ht="15.75" customHeight="1">
      <c r="E199" s="22"/>
    </row>
    <row r="200" ht="15.75" customHeight="1">
      <c r="E200" s="22"/>
    </row>
    <row r="201" ht="15.75" customHeight="1">
      <c r="E201" s="22"/>
    </row>
    <row r="202" ht="15.75" customHeight="1">
      <c r="E202" s="22"/>
    </row>
    <row r="203" ht="15.75" customHeight="1">
      <c r="E203" s="22"/>
    </row>
    <row r="204" ht="15.75" customHeight="1">
      <c r="E204" s="22"/>
    </row>
    <row r="205" ht="15.75" customHeight="1">
      <c r="E205" s="22"/>
    </row>
    <row r="206" ht="15.75" customHeight="1">
      <c r="E206" s="22"/>
    </row>
    <row r="207" ht="15.75" customHeight="1">
      <c r="E207" s="22"/>
    </row>
    <row r="208" ht="15.75" customHeight="1">
      <c r="E208" s="22"/>
    </row>
    <row r="209" ht="15.75" customHeight="1">
      <c r="E209" s="22"/>
    </row>
    <row r="210" ht="15.75" customHeight="1">
      <c r="E210" s="22"/>
    </row>
    <row r="211" ht="15.75" customHeight="1">
      <c r="E211" s="22"/>
    </row>
    <row r="212" ht="15.75" customHeight="1">
      <c r="E212" s="22"/>
    </row>
    <row r="213" ht="15.75" customHeight="1">
      <c r="E213" s="22"/>
    </row>
    <row r="214" ht="15.75" customHeight="1">
      <c r="E214" s="22"/>
    </row>
    <row r="215" ht="15.75" customHeight="1">
      <c r="E215" s="22"/>
    </row>
    <row r="216" ht="15.75" customHeight="1">
      <c r="E216" s="22"/>
    </row>
    <row r="217" ht="15.75" customHeight="1">
      <c r="E217" s="22"/>
    </row>
    <row r="218" ht="15.75" customHeight="1">
      <c r="E218" s="22"/>
    </row>
    <row r="219" ht="15.75" customHeight="1">
      <c r="E219" s="22"/>
    </row>
    <row r="220" ht="15.75" customHeight="1">
      <c r="E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75"/>
    <col customWidth="1" min="2" max="2" width="24.5"/>
    <col customWidth="1" min="3" max="3" width="26.13"/>
    <col customWidth="1" min="4" max="4" width="21.63"/>
    <col customWidth="1" min="5" max="5" width="14.5"/>
    <col customWidth="1" min="6" max="6" width="21.25"/>
    <col customWidth="1" min="7" max="7" width="14.13"/>
    <col customWidth="1" min="8" max="8" width="15.38"/>
  </cols>
  <sheetData>
    <row r="1">
      <c r="A1" s="5" t="s">
        <v>1</v>
      </c>
      <c r="B1" s="7"/>
      <c r="C1" s="7"/>
      <c r="D1" s="7"/>
      <c r="E1" s="7"/>
      <c r="F1" s="7"/>
      <c r="G1" s="7"/>
      <c r="H1" s="10"/>
    </row>
    <row r="2">
      <c r="A2" s="14" t="s">
        <v>3</v>
      </c>
      <c r="B2" s="7"/>
      <c r="C2" s="7"/>
      <c r="D2" s="7"/>
      <c r="E2" s="7"/>
      <c r="F2" s="7"/>
      <c r="G2" s="7"/>
      <c r="H2" s="10"/>
    </row>
    <row r="3">
      <c r="A3" s="17"/>
      <c r="B3" s="17"/>
      <c r="C3" s="17"/>
      <c r="D3" s="17"/>
      <c r="E3" s="17"/>
      <c r="F3" s="17"/>
      <c r="G3" s="17"/>
      <c r="H3" s="17"/>
    </row>
    <row r="4">
      <c r="A4" s="14" t="s">
        <v>8</v>
      </c>
      <c r="B4" s="7"/>
      <c r="C4" s="10"/>
      <c r="D4" s="27" t="s">
        <v>10</v>
      </c>
      <c r="E4" s="14" t="s">
        <v>11</v>
      </c>
      <c r="F4" s="7"/>
      <c r="G4" s="7"/>
      <c r="H4" s="10"/>
    </row>
    <row r="5">
      <c r="A5" s="14" t="s">
        <v>13</v>
      </c>
      <c r="B5" s="7"/>
      <c r="C5" s="7"/>
      <c r="D5" s="7"/>
      <c r="E5" s="7"/>
      <c r="F5" s="10"/>
      <c r="G5" s="14" t="s">
        <v>16</v>
      </c>
      <c r="H5" s="10"/>
    </row>
    <row r="6">
      <c r="A6" s="14" t="s">
        <v>19</v>
      </c>
      <c r="B6" s="7"/>
      <c r="C6" s="7"/>
      <c r="D6" s="7"/>
      <c r="E6" s="7"/>
      <c r="F6" s="7"/>
      <c r="G6" s="7"/>
      <c r="H6" s="10"/>
    </row>
    <row r="7" ht="51.0" customHeight="1">
      <c r="A7" s="14" t="s">
        <v>24</v>
      </c>
      <c r="B7" s="10"/>
      <c r="C7" s="14" t="s">
        <v>27</v>
      </c>
      <c r="D7" s="10"/>
      <c r="E7" s="14" t="s">
        <v>29</v>
      </c>
      <c r="F7" s="10"/>
      <c r="G7" s="14" t="s">
        <v>31</v>
      </c>
      <c r="H7" s="10"/>
    </row>
    <row r="8">
      <c r="A8" s="46"/>
      <c r="B8" s="46"/>
      <c r="C8" s="48"/>
      <c r="D8" s="48"/>
      <c r="E8" s="27"/>
      <c r="F8" s="46"/>
      <c r="G8" s="48"/>
      <c r="H8" s="48"/>
    </row>
    <row r="9">
      <c r="A9" s="52" t="s">
        <v>37</v>
      </c>
      <c r="B9" s="52" t="s">
        <v>40</v>
      </c>
      <c r="C9" s="52" t="s">
        <v>42</v>
      </c>
      <c r="D9" s="52" t="s">
        <v>43</v>
      </c>
      <c r="E9" s="52" t="s">
        <v>44</v>
      </c>
      <c r="F9" s="52" t="s">
        <v>46</v>
      </c>
      <c r="G9" s="52" t="s">
        <v>48</v>
      </c>
      <c r="H9" s="52"/>
    </row>
    <row r="10" ht="96.0" customHeight="1">
      <c r="A10" s="55" t="s">
        <v>49</v>
      </c>
      <c r="B10" s="58" t="s">
        <v>51</v>
      </c>
      <c r="C10" s="58" t="s">
        <v>52</v>
      </c>
      <c r="D10" s="58">
        <f>COUNTIF('4. Matriz Casos de Prueba'!B:B, $A10)</f>
        <v>15</v>
      </c>
      <c r="E10" s="77">
        <f>COUNTIFS('4. Matriz Casos de Prueba'!B:B, $A10, '4. Matriz Casos de Prueba'!G:G, "Exitoso")</f>
        <v>3</v>
      </c>
      <c r="F10" s="84">
        <f>COUNTIFS('4. Matriz Casos de Prueba'!B:B, $A10, '4. Matriz Casos de Prueba'!G:G, "Falló")</f>
        <v>7</v>
      </c>
      <c r="G10" s="87" t="s">
        <v>68</v>
      </c>
      <c r="H10" s="58"/>
    </row>
    <row r="11" ht="72.75" customHeight="1">
      <c r="A11" s="55" t="s">
        <v>70</v>
      </c>
      <c r="B11" s="58" t="s">
        <v>71</v>
      </c>
      <c r="C11" s="58" t="s">
        <v>72</v>
      </c>
      <c r="D11" s="58">
        <f>COUNTIF('4. Matriz Casos de Prueba'!B:B, $A11)</f>
        <v>1</v>
      </c>
      <c r="E11" s="77">
        <f>COUNTIFS('4. Matriz Casos de Prueba'!B:B, $A11, '4. Matriz Casos de Prueba'!G:G, "Exitoso")</f>
        <v>0</v>
      </c>
      <c r="F11" s="84">
        <f>COUNTIFS('4. Matriz Casos de Prueba'!B:B, $A11, '4. Matriz Casos de Prueba'!G:G, "Falló")</f>
        <v>1</v>
      </c>
      <c r="G11" s="87" t="s">
        <v>68</v>
      </c>
      <c r="H11" s="58"/>
    </row>
    <row r="12" ht="96.75" customHeight="1">
      <c r="A12" s="55" t="s">
        <v>85</v>
      </c>
      <c r="B12" s="58" t="s">
        <v>86</v>
      </c>
      <c r="C12" s="58" t="s">
        <v>88</v>
      </c>
      <c r="D12" s="58">
        <f>COUNTIF('4. Matriz Casos de Prueba'!B:B, $A12)</f>
        <v>2</v>
      </c>
      <c r="E12" s="77">
        <f>COUNTIFS('4. Matriz Casos de Prueba'!B:B, $A12, '4. Matriz Casos de Prueba'!G:G, "Exitoso")</f>
        <v>0</v>
      </c>
      <c r="F12" s="84">
        <f>COUNTIFS('4. Matriz Casos de Prueba'!B:B, $A12, '4. Matriz Casos de Prueba'!G:G, "Falló")</f>
        <v>2</v>
      </c>
      <c r="G12" s="87" t="s">
        <v>68</v>
      </c>
      <c r="H12" s="58"/>
    </row>
    <row r="13" ht="69.0" customHeight="1">
      <c r="A13" s="55" t="s">
        <v>92</v>
      </c>
      <c r="B13" s="58" t="s">
        <v>93</v>
      </c>
      <c r="C13" s="58" t="s">
        <v>94</v>
      </c>
      <c r="D13" s="58">
        <f>COUNTIF('4. Matriz Casos de Prueba'!B:B, $A13)</f>
        <v>4</v>
      </c>
      <c r="E13" s="77">
        <f>COUNTIFS('4. Matriz Casos de Prueba'!B:B, $A13, '4. Matriz Casos de Prueba'!G:G, "Exitoso")</f>
        <v>0</v>
      </c>
      <c r="F13" s="84">
        <f>COUNTIFS('4. Matriz Casos de Prueba'!B:B, $A13, '4. Matriz Casos de Prueba'!G:G, "Falló")</f>
        <v>4</v>
      </c>
      <c r="G13" s="87" t="s">
        <v>68</v>
      </c>
      <c r="H13" s="58"/>
    </row>
    <row r="14" ht="87.75" customHeight="1">
      <c r="A14" s="55" t="s">
        <v>101</v>
      </c>
      <c r="B14" s="58" t="s">
        <v>102</v>
      </c>
      <c r="C14" s="58" t="s">
        <v>103</v>
      </c>
      <c r="D14" s="58">
        <f>COUNTIF('4. Matriz Casos de Prueba'!B:B, $A14)</f>
        <v>8</v>
      </c>
      <c r="E14" s="77">
        <f>COUNTIFS('4. Matriz Casos de Prueba'!B:B, $A14, '4. Matriz Casos de Prueba'!G:G, "Exitoso")</f>
        <v>3</v>
      </c>
      <c r="F14" s="84">
        <f>COUNTIFS('4. Matriz Casos de Prueba'!B:B, $A14, '4. Matriz Casos de Prueba'!G:G, "Falló")</f>
        <v>5</v>
      </c>
      <c r="G14" s="87" t="s">
        <v>68</v>
      </c>
      <c r="H14" s="58"/>
    </row>
    <row r="15" ht="99.75" customHeight="1">
      <c r="A15" s="55" t="s">
        <v>109</v>
      </c>
      <c r="B15" s="58" t="s">
        <v>110</v>
      </c>
      <c r="C15" s="58" t="s">
        <v>111</v>
      </c>
      <c r="D15" s="58">
        <f>COUNTIF('4. Matriz Casos de Prueba'!B:B, $A15)</f>
        <v>5</v>
      </c>
      <c r="E15" s="77">
        <f>COUNTIFS('4. Matriz Casos de Prueba'!B:B, $A15, '4. Matriz Casos de Prueba'!G:G, "Exitoso")</f>
        <v>2</v>
      </c>
      <c r="F15" s="84">
        <f>COUNTIFS('4. Matriz Casos de Prueba'!B:B, $A15, '4. Matriz Casos de Prueba'!G:G, "Falló")</f>
        <v>3</v>
      </c>
      <c r="G15" s="87" t="s">
        <v>68</v>
      </c>
      <c r="H15" s="58"/>
    </row>
    <row r="16" ht="55.5" customHeight="1">
      <c r="A16" s="55" t="s">
        <v>116</v>
      </c>
      <c r="B16" s="58" t="s">
        <v>117</v>
      </c>
      <c r="C16" s="58" t="s">
        <v>118</v>
      </c>
      <c r="D16" s="58">
        <f>COUNTIF('4. Matriz Casos de Prueba'!B:B, $A16)</f>
        <v>8</v>
      </c>
      <c r="E16" s="77">
        <f>COUNTIFS('4. Matriz Casos de Prueba'!B:B, $A16, '4. Matriz Casos de Prueba'!G:G, "Exitoso")</f>
        <v>3</v>
      </c>
      <c r="F16" s="84">
        <f>COUNTIFS('4. Matriz Casos de Prueba'!B:B, $A16, '4. Matriz Casos de Prueba'!G:G, "Falló")</f>
        <v>5</v>
      </c>
      <c r="G16" s="87" t="s">
        <v>68</v>
      </c>
      <c r="H16" s="58"/>
    </row>
    <row r="17" ht="68.25" customHeight="1">
      <c r="A17" s="55" t="s">
        <v>123</v>
      </c>
      <c r="B17" s="58" t="s">
        <v>124</v>
      </c>
      <c r="C17" s="58" t="s">
        <v>125</v>
      </c>
      <c r="D17" s="58">
        <f>COUNTIF('4. Matriz Casos de Prueba'!B:B, $A17)</f>
        <v>9</v>
      </c>
      <c r="E17" s="77">
        <f>COUNTIFS('4. Matriz Casos de Prueba'!B:B, $A17, '4. Matriz Casos de Prueba'!G:G, "Exitoso")</f>
        <v>0</v>
      </c>
      <c r="F17" s="84">
        <f>COUNTIFS('4. Matriz Casos de Prueba'!B:B, $A17, '4. Matriz Casos de Prueba'!G:G, "Falló")</f>
        <v>9</v>
      </c>
      <c r="G17" s="87" t="s">
        <v>68</v>
      </c>
      <c r="H17" s="58"/>
    </row>
    <row r="21" ht="15.75" customHeight="1"/>
    <row r="22" ht="15.75" customHeight="1">
      <c r="D22" s="10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7:B7"/>
    <mergeCell ref="C7:D7"/>
    <mergeCell ref="E7:F7"/>
    <mergeCell ref="G7:H7"/>
    <mergeCell ref="A1:H1"/>
    <mergeCell ref="A2:H2"/>
    <mergeCell ref="A4:C4"/>
    <mergeCell ref="E4:H4"/>
    <mergeCell ref="A5:F5"/>
    <mergeCell ref="G5:H5"/>
    <mergeCell ref="A6:H6"/>
  </mergeCells>
  <dataValidations>
    <dataValidation type="list" allowBlank="1" sqref="G10:G17">
      <formula1>"Exitoso,Falló,Diferido"</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13"/>
    <col customWidth="1" min="2" max="2" width="29.25"/>
    <col customWidth="1" min="3" max="3" width="13.38"/>
    <col customWidth="1" min="4" max="5" width="26.25"/>
    <col customWidth="1" min="6" max="6" width="19.63"/>
    <col customWidth="1" min="7" max="7" width="18.63"/>
    <col customWidth="1" min="8" max="8" width="38.0"/>
    <col customWidth="1" min="9" max="9" width="15.88"/>
    <col customWidth="1" min="10" max="10" width="23.75"/>
    <col customWidth="1" min="11" max="27" width="7.63"/>
  </cols>
  <sheetData>
    <row r="1" ht="42.0" customHeight="1">
      <c r="A1" s="102" t="s">
        <v>126</v>
      </c>
      <c r="B1" s="102" t="s">
        <v>128</v>
      </c>
      <c r="C1" s="103" t="s">
        <v>130</v>
      </c>
      <c r="D1" s="103" t="s">
        <v>131</v>
      </c>
      <c r="E1" s="103" t="s">
        <v>133</v>
      </c>
      <c r="F1" s="103" t="s">
        <v>134</v>
      </c>
      <c r="G1" s="102" t="s">
        <v>136</v>
      </c>
      <c r="H1" s="102" t="s">
        <v>137</v>
      </c>
      <c r="I1" s="104"/>
      <c r="J1" s="104"/>
      <c r="K1" s="104"/>
      <c r="L1" s="104"/>
      <c r="M1" s="104"/>
      <c r="N1" s="104"/>
      <c r="O1" s="104"/>
      <c r="P1" s="104"/>
      <c r="Q1" s="104"/>
      <c r="R1" s="104"/>
      <c r="S1" s="104"/>
      <c r="T1" s="104"/>
      <c r="U1" s="104"/>
      <c r="V1" s="104"/>
      <c r="W1" s="104"/>
      <c r="X1" s="76"/>
      <c r="Y1" s="76"/>
    </row>
    <row r="2" ht="22.5" customHeight="1">
      <c r="A2" s="106" t="s">
        <v>139</v>
      </c>
      <c r="B2" s="107" t="s">
        <v>141</v>
      </c>
      <c r="C2" s="108"/>
      <c r="D2" s="108"/>
      <c r="E2" s="108"/>
      <c r="F2" s="109"/>
      <c r="G2" s="110"/>
      <c r="H2" s="111"/>
      <c r="I2" s="104"/>
      <c r="J2" s="104"/>
      <c r="K2" s="104"/>
      <c r="L2" s="104"/>
      <c r="M2" s="104"/>
      <c r="N2" s="104"/>
      <c r="O2" s="104"/>
      <c r="P2" s="104"/>
      <c r="Q2" s="104"/>
      <c r="R2" s="104"/>
      <c r="S2" s="104"/>
      <c r="T2" s="104"/>
      <c r="U2" s="104"/>
      <c r="V2" s="104"/>
      <c r="W2" s="104"/>
      <c r="X2" s="76"/>
      <c r="Y2" s="76"/>
    </row>
    <row r="3" ht="109.5" customHeight="1">
      <c r="A3" s="112" t="s">
        <v>146</v>
      </c>
      <c r="B3" s="113" t="s">
        <v>49</v>
      </c>
      <c r="C3" s="114" t="s">
        <v>148</v>
      </c>
      <c r="D3" s="114" t="s">
        <v>149</v>
      </c>
      <c r="E3" s="114" t="s">
        <v>150</v>
      </c>
      <c r="F3" s="116" t="s">
        <v>152</v>
      </c>
      <c r="G3" s="116" t="s">
        <v>68</v>
      </c>
      <c r="H3" s="117"/>
      <c r="I3" s="104"/>
      <c r="J3" s="104"/>
      <c r="K3" s="104"/>
      <c r="L3" s="104"/>
      <c r="M3" s="104"/>
      <c r="N3" s="104"/>
      <c r="O3" s="104"/>
      <c r="P3" s="104"/>
      <c r="Q3" s="104"/>
      <c r="R3" s="104"/>
      <c r="S3" s="104"/>
      <c r="T3" s="104"/>
      <c r="U3" s="104"/>
      <c r="V3" s="104"/>
      <c r="W3" s="104"/>
      <c r="X3" s="76"/>
      <c r="Y3" s="76"/>
    </row>
    <row r="4" ht="131.25" customHeight="1">
      <c r="A4" s="112" t="s">
        <v>154</v>
      </c>
      <c r="B4" s="113" t="s">
        <v>49</v>
      </c>
      <c r="C4" s="114" t="s">
        <v>148</v>
      </c>
      <c r="D4" s="114" t="s">
        <v>149</v>
      </c>
      <c r="E4" s="114" t="s">
        <v>157</v>
      </c>
      <c r="F4" s="116" t="s">
        <v>152</v>
      </c>
      <c r="G4" s="116" t="s">
        <v>159</v>
      </c>
      <c r="H4" s="118" t="s">
        <v>161</v>
      </c>
      <c r="J4" s="104"/>
      <c r="K4" s="104"/>
      <c r="L4" s="104"/>
      <c r="M4" s="104"/>
      <c r="N4" s="104"/>
      <c r="O4" s="104"/>
      <c r="P4" s="104"/>
      <c r="Q4" s="104"/>
      <c r="R4" s="104"/>
      <c r="S4" s="104"/>
      <c r="T4" s="104"/>
      <c r="U4" s="104"/>
      <c r="V4" s="104"/>
      <c r="W4" s="104"/>
      <c r="X4" s="76"/>
      <c r="Y4" s="76"/>
    </row>
    <row r="5" ht="81.0" customHeight="1">
      <c r="A5" s="112" t="s">
        <v>162</v>
      </c>
      <c r="B5" s="113" t="s">
        <v>49</v>
      </c>
      <c r="C5" s="114" t="s">
        <v>148</v>
      </c>
      <c r="D5" s="114" t="s">
        <v>165</v>
      </c>
      <c r="E5" s="114" t="s">
        <v>166</v>
      </c>
      <c r="F5" s="116" t="s">
        <v>152</v>
      </c>
      <c r="G5" s="116" t="s">
        <v>159</v>
      </c>
      <c r="H5" s="118"/>
      <c r="I5" s="104"/>
      <c r="J5" s="104"/>
      <c r="K5" s="104"/>
      <c r="L5" s="104"/>
      <c r="M5" s="104"/>
      <c r="N5" s="104"/>
      <c r="O5" s="104"/>
      <c r="P5" s="104"/>
      <c r="Q5" s="104"/>
      <c r="R5" s="104"/>
      <c r="S5" s="104"/>
      <c r="T5" s="104"/>
      <c r="U5" s="104"/>
      <c r="V5" s="104"/>
      <c r="W5" s="104"/>
      <c r="X5" s="76"/>
      <c r="Y5" s="76"/>
    </row>
    <row r="6" ht="77.25" customHeight="1">
      <c r="A6" s="112" t="s">
        <v>169</v>
      </c>
      <c r="B6" s="113" t="s">
        <v>49</v>
      </c>
      <c r="C6" s="120" t="s">
        <v>173</v>
      </c>
      <c r="D6" s="123" t="s">
        <v>176</v>
      </c>
      <c r="E6" s="123" t="s">
        <v>180</v>
      </c>
      <c r="F6" s="116" t="s">
        <v>152</v>
      </c>
      <c r="G6" s="116"/>
      <c r="H6" s="118"/>
      <c r="I6" s="104"/>
      <c r="J6" s="104"/>
      <c r="K6" s="104"/>
      <c r="L6" s="104"/>
      <c r="M6" s="104"/>
      <c r="N6" s="104"/>
      <c r="O6" s="104"/>
      <c r="P6" s="104"/>
      <c r="Q6" s="104"/>
      <c r="R6" s="104"/>
      <c r="S6" s="104"/>
      <c r="T6" s="104"/>
      <c r="U6" s="104"/>
      <c r="V6" s="104"/>
      <c r="W6" s="104"/>
      <c r="X6" s="76"/>
      <c r="Y6" s="76"/>
    </row>
    <row r="7" ht="79.5" customHeight="1">
      <c r="A7" s="112" t="s">
        <v>184</v>
      </c>
      <c r="B7" s="113" t="s">
        <v>49</v>
      </c>
      <c r="C7" s="120" t="s">
        <v>173</v>
      </c>
      <c r="D7" s="123" t="s">
        <v>186</v>
      </c>
      <c r="E7" s="120" t="s">
        <v>187</v>
      </c>
      <c r="F7" s="116" t="s">
        <v>152</v>
      </c>
      <c r="G7" s="116"/>
      <c r="H7" s="118"/>
      <c r="I7" s="104"/>
      <c r="J7" s="104"/>
      <c r="K7" s="104"/>
      <c r="L7" s="104"/>
      <c r="M7" s="104"/>
      <c r="N7" s="104"/>
      <c r="O7" s="104"/>
      <c r="P7" s="104"/>
      <c r="Q7" s="104"/>
      <c r="R7" s="104"/>
      <c r="S7" s="104"/>
      <c r="T7" s="104"/>
      <c r="U7" s="104"/>
      <c r="V7" s="104"/>
      <c r="W7" s="104"/>
      <c r="X7" s="76"/>
      <c r="Y7" s="76"/>
    </row>
    <row r="8" ht="59.25" customHeight="1">
      <c r="A8" s="112" t="s">
        <v>188</v>
      </c>
      <c r="B8" s="113" t="s">
        <v>49</v>
      </c>
      <c r="C8" s="120" t="s">
        <v>190</v>
      </c>
      <c r="D8" s="120" t="s">
        <v>191</v>
      </c>
      <c r="E8" s="120" t="s">
        <v>192</v>
      </c>
      <c r="F8" s="116" t="s">
        <v>152</v>
      </c>
      <c r="G8" s="116" t="s">
        <v>159</v>
      </c>
      <c r="H8" s="118"/>
      <c r="I8" s="104"/>
      <c r="J8" s="104"/>
      <c r="K8" s="104"/>
      <c r="L8" s="104"/>
      <c r="M8" s="104"/>
      <c r="N8" s="104"/>
      <c r="O8" s="104"/>
      <c r="P8" s="104"/>
      <c r="Q8" s="104"/>
      <c r="R8" s="104"/>
      <c r="S8" s="104"/>
      <c r="T8" s="104"/>
      <c r="U8" s="104"/>
      <c r="V8" s="104"/>
      <c r="W8" s="104"/>
      <c r="X8" s="76"/>
      <c r="Y8" s="76"/>
    </row>
    <row r="9" ht="72.0" customHeight="1">
      <c r="A9" s="112" t="s">
        <v>194</v>
      </c>
      <c r="B9" s="113" t="s">
        <v>49</v>
      </c>
      <c r="C9" s="114" t="s">
        <v>195</v>
      </c>
      <c r="D9" s="133" t="s">
        <v>196</v>
      </c>
      <c r="E9" s="114" t="s">
        <v>197</v>
      </c>
      <c r="F9" s="116" t="s">
        <v>152</v>
      </c>
      <c r="G9" s="116"/>
      <c r="H9" s="117"/>
      <c r="I9" s="104"/>
      <c r="J9" s="104"/>
      <c r="K9" s="104"/>
      <c r="L9" s="104"/>
      <c r="M9" s="104"/>
      <c r="N9" s="104"/>
      <c r="O9" s="104"/>
      <c r="P9" s="104"/>
      <c r="Q9" s="104"/>
      <c r="R9" s="104"/>
      <c r="S9" s="104"/>
      <c r="T9" s="104"/>
      <c r="U9" s="104"/>
      <c r="V9" s="104"/>
      <c r="W9" s="104"/>
      <c r="X9" s="76"/>
      <c r="Y9" s="76"/>
    </row>
    <row r="10" ht="105.0" customHeight="1">
      <c r="A10" s="112" t="s">
        <v>200</v>
      </c>
      <c r="B10" s="113" t="s">
        <v>49</v>
      </c>
      <c r="C10" s="114" t="s">
        <v>201</v>
      </c>
      <c r="D10" s="114" t="s">
        <v>202</v>
      </c>
      <c r="E10" s="133" t="s">
        <v>203</v>
      </c>
      <c r="F10" s="116" t="s">
        <v>152</v>
      </c>
      <c r="G10" s="116"/>
      <c r="H10" s="117"/>
      <c r="I10" s="104"/>
      <c r="J10" s="104"/>
      <c r="K10" s="104"/>
      <c r="L10" s="104"/>
      <c r="M10" s="104"/>
      <c r="N10" s="104"/>
      <c r="O10" s="104"/>
      <c r="P10" s="104"/>
      <c r="Q10" s="104"/>
      <c r="R10" s="104"/>
      <c r="S10" s="104"/>
      <c r="T10" s="104"/>
      <c r="U10" s="104"/>
      <c r="V10" s="104"/>
      <c r="W10" s="104"/>
      <c r="X10" s="76"/>
      <c r="Y10" s="76"/>
    </row>
    <row r="11" ht="105.0" customHeight="1">
      <c r="A11" s="112" t="s">
        <v>204</v>
      </c>
      <c r="B11" s="113" t="s">
        <v>49</v>
      </c>
      <c r="C11" s="114" t="s">
        <v>205</v>
      </c>
      <c r="D11" s="114" t="s">
        <v>207</v>
      </c>
      <c r="E11" s="133" t="s">
        <v>208</v>
      </c>
      <c r="F11" s="116" t="s">
        <v>152</v>
      </c>
      <c r="G11" s="116"/>
      <c r="H11" s="117"/>
      <c r="I11" s="104"/>
      <c r="J11" s="104"/>
      <c r="K11" s="104"/>
      <c r="L11" s="104"/>
      <c r="M11" s="104"/>
      <c r="N11" s="104"/>
      <c r="O11" s="104"/>
      <c r="P11" s="104"/>
      <c r="Q11" s="104"/>
      <c r="R11" s="104"/>
      <c r="S11" s="104"/>
      <c r="T11" s="104"/>
      <c r="U11" s="104"/>
      <c r="V11" s="104"/>
      <c r="W11" s="104"/>
      <c r="X11" s="76"/>
      <c r="Y11" s="76"/>
    </row>
    <row r="12" ht="69.75" customHeight="1">
      <c r="A12" s="112" t="s">
        <v>211</v>
      </c>
      <c r="B12" s="113" t="s">
        <v>49</v>
      </c>
      <c r="C12" s="114" t="s">
        <v>212</v>
      </c>
      <c r="D12" s="114" t="s">
        <v>213</v>
      </c>
      <c r="E12" s="114" t="s">
        <v>214</v>
      </c>
      <c r="F12" s="116" t="s">
        <v>152</v>
      </c>
      <c r="G12" s="116" t="s">
        <v>68</v>
      </c>
      <c r="H12" s="117" t="s">
        <v>215</v>
      </c>
      <c r="I12" s="104"/>
      <c r="J12" s="104"/>
      <c r="K12" s="104"/>
      <c r="L12" s="104"/>
      <c r="M12" s="104"/>
      <c r="N12" s="104"/>
      <c r="O12" s="104"/>
      <c r="P12" s="104"/>
      <c r="Q12" s="104"/>
      <c r="R12" s="104"/>
      <c r="S12" s="104"/>
      <c r="T12" s="104"/>
      <c r="U12" s="104"/>
      <c r="V12" s="104"/>
      <c r="W12" s="104"/>
      <c r="X12" s="76"/>
      <c r="Y12" s="76"/>
    </row>
    <row r="13" ht="86.25" customHeight="1">
      <c r="A13" s="112" t="s">
        <v>216</v>
      </c>
      <c r="B13" s="113" t="s">
        <v>49</v>
      </c>
      <c r="C13" s="114" t="s">
        <v>212</v>
      </c>
      <c r="D13" s="114" t="s">
        <v>217</v>
      </c>
      <c r="E13" s="114" t="s">
        <v>218</v>
      </c>
      <c r="F13" s="116" t="s">
        <v>152</v>
      </c>
      <c r="G13" s="116" t="s">
        <v>68</v>
      </c>
      <c r="H13" s="117" t="s">
        <v>215</v>
      </c>
      <c r="I13" s="104"/>
      <c r="J13" s="104"/>
      <c r="K13" s="104"/>
      <c r="L13" s="104"/>
      <c r="M13" s="104"/>
      <c r="N13" s="104"/>
      <c r="O13" s="104"/>
      <c r="P13" s="104"/>
      <c r="Q13" s="104"/>
      <c r="R13" s="104"/>
      <c r="S13" s="104"/>
      <c r="T13" s="104"/>
      <c r="U13" s="104"/>
      <c r="V13" s="104"/>
      <c r="W13" s="104"/>
      <c r="X13" s="76"/>
      <c r="Y13" s="76"/>
    </row>
    <row r="14" ht="70.5" customHeight="1">
      <c r="A14" s="112" t="s">
        <v>220</v>
      </c>
      <c r="B14" s="113" t="s">
        <v>49</v>
      </c>
      <c r="C14" s="114" t="s">
        <v>222</v>
      </c>
      <c r="D14" s="114" t="s">
        <v>223</v>
      </c>
      <c r="E14" s="133" t="s">
        <v>224</v>
      </c>
      <c r="F14" s="116" t="s">
        <v>152</v>
      </c>
      <c r="G14" s="116" t="s">
        <v>68</v>
      </c>
      <c r="H14" s="117" t="s">
        <v>225</v>
      </c>
      <c r="I14" s="104"/>
      <c r="J14" s="104"/>
      <c r="K14" s="104"/>
      <c r="L14" s="104"/>
      <c r="M14" s="104"/>
      <c r="N14" s="104"/>
      <c r="O14" s="104"/>
      <c r="P14" s="104"/>
      <c r="Q14" s="104"/>
      <c r="R14" s="104"/>
      <c r="S14" s="104"/>
      <c r="T14" s="104"/>
      <c r="U14" s="104"/>
      <c r="V14" s="104"/>
      <c r="W14" s="104"/>
      <c r="X14" s="76"/>
      <c r="Y14" s="76"/>
    </row>
    <row r="15" ht="81.0" customHeight="1">
      <c r="A15" s="112" t="s">
        <v>226</v>
      </c>
      <c r="B15" s="113" t="s">
        <v>49</v>
      </c>
      <c r="C15" s="114" t="s">
        <v>228</v>
      </c>
      <c r="D15" s="133" t="s">
        <v>229</v>
      </c>
      <c r="E15" s="133" t="s">
        <v>230</v>
      </c>
      <c r="F15" s="116" t="s">
        <v>152</v>
      </c>
      <c r="G15" s="116" t="s">
        <v>68</v>
      </c>
      <c r="H15" s="117" t="s">
        <v>231</v>
      </c>
      <c r="I15" s="104"/>
      <c r="J15" s="104"/>
      <c r="K15" s="104"/>
      <c r="L15" s="104"/>
      <c r="M15" s="104"/>
      <c r="N15" s="104"/>
      <c r="O15" s="104"/>
      <c r="P15" s="104"/>
      <c r="Q15" s="104"/>
      <c r="R15" s="104"/>
      <c r="S15" s="104"/>
      <c r="T15" s="104"/>
      <c r="U15" s="104"/>
      <c r="V15" s="104"/>
      <c r="W15" s="104"/>
      <c r="X15" s="76"/>
      <c r="Y15" s="76"/>
    </row>
    <row r="16" ht="82.5" customHeight="1">
      <c r="A16" s="112" t="s">
        <v>232</v>
      </c>
      <c r="B16" s="113" t="s">
        <v>49</v>
      </c>
      <c r="C16" s="114" t="s">
        <v>234</v>
      </c>
      <c r="D16" s="114" t="s">
        <v>235</v>
      </c>
      <c r="E16" s="114" t="s">
        <v>237</v>
      </c>
      <c r="F16" s="116" t="s">
        <v>152</v>
      </c>
      <c r="G16" s="116" t="s">
        <v>68</v>
      </c>
      <c r="H16" s="117" t="s">
        <v>238</v>
      </c>
      <c r="I16" s="104"/>
      <c r="J16" s="104"/>
      <c r="K16" s="104"/>
      <c r="L16" s="104"/>
      <c r="M16" s="104"/>
      <c r="N16" s="104"/>
      <c r="O16" s="104"/>
      <c r="P16" s="104"/>
      <c r="Q16" s="104"/>
      <c r="R16" s="104"/>
      <c r="S16" s="104"/>
      <c r="T16" s="104"/>
      <c r="U16" s="104"/>
      <c r="V16" s="104"/>
      <c r="W16" s="104"/>
      <c r="X16" s="76"/>
      <c r="Y16" s="76"/>
    </row>
    <row r="17" ht="81.0" customHeight="1">
      <c r="A17" s="112" t="s">
        <v>232</v>
      </c>
      <c r="B17" s="113" t="s">
        <v>49</v>
      </c>
      <c r="C17" s="114" t="s">
        <v>239</v>
      </c>
      <c r="D17" s="114" t="s">
        <v>240</v>
      </c>
      <c r="E17" s="114" t="s">
        <v>241</v>
      </c>
      <c r="F17" s="116" t="s">
        <v>152</v>
      </c>
      <c r="G17" s="116" t="s">
        <v>68</v>
      </c>
      <c r="H17" s="117" t="s">
        <v>242</v>
      </c>
      <c r="I17" s="104"/>
      <c r="J17" s="104"/>
      <c r="K17" s="104"/>
      <c r="L17" s="104"/>
      <c r="M17" s="104"/>
      <c r="N17" s="104"/>
      <c r="O17" s="104"/>
      <c r="P17" s="104"/>
      <c r="Q17" s="104"/>
      <c r="R17" s="104"/>
      <c r="S17" s="104"/>
      <c r="T17" s="104"/>
      <c r="U17" s="104"/>
      <c r="V17" s="104"/>
      <c r="W17" s="104"/>
      <c r="X17" s="76"/>
      <c r="Y17" s="76"/>
    </row>
    <row r="18" ht="15.75" customHeight="1">
      <c r="A18" s="145"/>
      <c r="B18" s="147" t="s">
        <v>243</v>
      </c>
      <c r="C18" s="148"/>
      <c r="D18" s="148"/>
      <c r="E18" s="148"/>
      <c r="F18" s="149"/>
      <c r="G18" s="149"/>
      <c r="H18" s="148"/>
      <c r="I18" s="104"/>
      <c r="J18" s="104"/>
      <c r="K18" s="104"/>
      <c r="L18" s="104"/>
      <c r="M18" s="104"/>
      <c r="N18" s="104"/>
      <c r="O18" s="104"/>
      <c r="P18" s="104"/>
      <c r="Q18" s="104"/>
      <c r="R18" s="104"/>
      <c r="S18" s="104"/>
      <c r="T18" s="104"/>
      <c r="U18" s="104"/>
      <c r="V18" s="104"/>
      <c r="W18" s="104"/>
      <c r="X18" s="76"/>
      <c r="Y18" s="76"/>
    </row>
    <row r="19" ht="95.25" customHeight="1">
      <c r="A19" s="112" t="s">
        <v>247</v>
      </c>
      <c r="B19" s="150" t="s">
        <v>70</v>
      </c>
      <c r="C19" s="151" t="s">
        <v>248</v>
      </c>
      <c r="D19" s="151" t="s">
        <v>249</v>
      </c>
      <c r="E19" s="151" t="s">
        <v>250</v>
      </c>
      <c r="F19" s="116" t="s">
        <v>152</v>
      </c>
      <c r="G19" s="116" t="s">
        <v>68</v>
      </c>
      <c r="H19" s="120" t="s">
        <v>253</v>
      </c>
      <c r="I19" s="104"/>
      <c r="J19" s="104"/>
      <c r="K19" s="104"/>
      <c r="L19" s="104"/>
      <c r="M19" s="104"/>
      <c r="N19" s="104"/>
      <c r="O19" s="104"/>
      <c r="P19" s="104"/>
      <c r="Q19" s="104"/>
      <c r="R19" s="104"/>
      <c r="S19" s="104"/>
      <c r="T19" s="104"/>
      <c r="U19" s="104"/>
      <c r="V19" s="104"/>
      <c r="W19" s="104"/>
      <c r="X19" s="76"/>
      <c r="Y19" s="76"/>
    </row>
    <row r="20" ht="58.5" customHeight="1">
      <c r="A20" s="112" t="s">
        <v>254</v>
      </c>
      <c r="B20" s="152"/>
      <c r="C20" s="123" t="s">
        <v>255</v>
      </c>
      <c r="D20" s="123" t="s">
        <v>256</v>
      </c>
      <c r="E20" s="123" t="s">
        <v>257</v>
      </c>
      <c r="F20" s="153" t="s">
        <v>152</v>
      </c>
      <c r="G20" s="116" t="s">
        <v>68</v>
      </c>
      <c r="H20" s="117" t="s">
        <v>258</v>
      </c>
      <c r="I20" s="104"/>
      <c r="J20" s="104"/>
      <c r="K20" s="104"/>
      <c r="L20" s="104"/>
      <c r="M20" s="104"/>
      <c r="N20" s="104"/>
      <c r="O20" s="104"/>
      <c r="P20" s="104"/>
      <c r="Q20" s="104"/>
      <c r="R20" s="104"/>
      <c r="S20" s="104"/>
      <c r="T20" s="104"/>
      <c r="U20" s="104"/>
      <c r="V20" s="104"/>
      <c r="W20" s="104"/>
      <c r="X20" s="76"/>
      <c r="Y20" s="76"/>
    </row>
    <row r="21" ht="15.75" customHeight="1">
      <c r="A21" s="145" t="s">
        <v>85</v>
      </c>
      <c r="B21" s="147" t="s">
        <v>260</v>
      </c>
      <c r="C21" s="148"/>
      <c r="D21" s="148"/>
      <c r="E21" s="148"/>
      <c r="F21" s="149"/>
      <c r="G21" s="149"/>
      <c r="H21" s="148"/>
      <c r="I21" s="104"/>
      <c r="J21" s="104"/>
      <c r="K21" s="104"/>
      <c r="L21" s="104"/>
      <c r="M21" s="104"/>
      <c r="N21" s="104"/>
      <c r="O21" s="104"/>
      <c r="P21" s="104"/>
      <c r="Q21" s="104"/>
      <c r="R21" s="104"/>
      <c r="S21" s="104"/>
      <c r="T21" s="104"/>
      <c r="U21" s="104"/>
      <c r="V21" s="104"/>
      <c r="W21" s="104"/>
      <c r="X21" s="76"/>
      <c r="Y21" s="76"/>
    </row>
    <row r="22" ht="83.25" customHeight="1">
      <c r="A22" s="155" t="s">
        <v>263</v>
      </c>
      <c r="B22" s="150" t="s">
        <v>85</v>
      </c>
      <c r="C22" s="123" t="s">
        <v>264</v>
      </c>
      <c r="D22" s="123" t="s">
        <v>265</v>
      </c>
      <c r="E22" s="123" t="s">
        <v>266</v>
      </c>
      <c r="F22" s="116" t="s">
        <v>152</v>
      </c>
      <c r="G22" s="116" t="s">
        <v>68</v>
      </c>
      <c r="H22" s="120" t="s">
        <v>253</v>
      </c>
      <c r="I22" s="104"/>
      <c r="J22" s="104"/>
      <c r="K22" s="104"/>
      <c r="L22" s="104"/>
      <c r="M22" s="104"/>
      <c r="N22" s="104"/>
      <c r="O22" s="104"/>
      <c r="P22" s="104"/>
      <c r="Q22" s="104"/>
      <c r="R22" s="104"/>
      <c r="S22" s="104"/>
      <c r="T22" s="104"/>
      <c r="U22" s="104"/>
      <c r="V22" s="104"/>
      <c r="W22" s="104"/>
      <c r="X22" s="76"/>
      <c r="Y22" s="76"/>
    </row>
    <row r="23" ht="81.0" customHeight="1">
      <c r="A23" s="155" t="s">
        <v>270</v>
      </c>
      <c r="B23" s="150" t="s">
        <v>85</v>
      </c>
      <c r="C23" s="123" t="s">
        <v>271</v>
      </c>
      <c r="D23" s="123" t="s">
        <v>272</v>
      </c>
      <c r="E23" s="123" t="s">
        <v>274</v>
      </c>
      <c r="F23" s="116" t="s">
        <v>152</v>
      </c>
      <c r="G23" s="116" t="s">
        <v>68</v>
      </c>
      <c r="H23" s="123" t="s">
        <v>276</v>
      </c>
      <c r="I23" s="104"/>
      <c r="J23" s="104"/>
      <c r="K23" s="104"/>
      <c r="L23" s="104"/>
      <c r="M23" s="104"/>
      <c r="N23" s="104"/>
      <c r="O23" s="104"/>
      <c r="P23" s="104"/>
      <c r="Q23" s="104"/>
      <c r="R23" s="104"/>
      <c r="S23" s="104"/>
      <c r="T23" s="104"/>
      <c r="U23" s="104"/>
      <c r="V23" s="104"/>
      <c r="W23" s="104"/>
      <c r="X23" s="76"/>
      <c r="Y23" s="76"/>
    </row>
    <row r="24" ht="15.75" customHeight="1">
      <c r="A24" s="145" t="s">
        <v>92</v>
      </c>
      <c r="B24" s="147" t="s">
        <v>93</v>
      </c>
      <c r="C24" s="148"/>
      <c r="D24" s="148"/>
      <c r="E24" s="148"/>
      <c r="F24" s="149"/>
      <c r="G24" s="149"/>
      <c r="H24" s="148"/>
      <c r="I24" s="104"/>
      <c r="J24" s="104"/>
      <c r="K24" s="104"/>
      <c r="L24" s="104"/>
      <c r="M24" s="104"/>
      <c r="N24" s="104"/>
      <c r="O24" s="104"/>
      <c r="P24" s="104"/>
      <c r="Q24" s="104"/>
      <c r="R24" s="104"/>
      <c r="S24" s="104"/>
      <c r="T24" s="104"/>
      <c r="U24" s="104"/>
      <c r="V24" s="104"/>
      <c r="W24" s="104"/>
      <c r="X24" s="76"/>
      <c r="Y24" s="76"/>
    </row>
    <row r="25" ht="129.75" customHeight="1">
      <c r="A25" s="112" t="s">
        <v>283</v>
      </c>
      <c r="B25" s="150" t="s">
        <v>92</v>
      </c>
      <c r="C25" s="123" t="s">
        <v>285</v>
      </c>
      <c r="D25" s="123" t="s">
        <v>287</v>
      </c>
      <c r="E25" s="123" t="s">
        <v>289</v>
      </c>
      <c r="F25" s="116" t="s">
        <v>152</v>
      </c>
      <c r="G25" s="116" t="s">
        <v>68</v>
      </c>
      <c r="H25" s="120"/>
      <c r="I25" s="104"/>
      <c r="J25" s="104"/>
      <c r="K25" s="104"/>
      <c r="L25" s="104"/>
      <c r="M25" s="104"/>
      <c r="N25" s="104"/>
      <c r="O25" s="104"/>
      <c r="P25" s="104"/>
      <c r="Q25" s="104"/>
      <c r="R25" s="104"/>
      <c r="S25" s="104"/>
      <c r="T25" s="104"/>
      <c r="U25" s="104"/>
      <c r="V25" s="104"/>
      <c r="W25" s="104"/>
      <c r="X25" s="76"/>
      <c r="Y25" s="76"/>
    </row>
    <row r="26" ht="93.75" customHeight="1">
      <c r="A26" s="112" t="s">
        <v>294</v>
      </c>
      <c r="B26" s="150" t="s">
        <v>92</v>
      </c>
      <c r="C26" s="123" t="s">
        <v>285</v>
      </c>
      <c r="D26" s="123" t="s">
        <v>295</v>
      </c>
      <c r="E26" s="123" t="s">
        <v>296</v>
      </c>
      <c r="F26" s="116" t="s">
        <v>152</v>
      </c>
      <c r="G26" s="116" t="s">
        <v>68</v>
      </c>
      <c r="H26" s="120"/>
      <c r="I26" s="104"/>
      <c r="J26" s="104"/>
      <c r="K26" s="104"/>
      <c r="L26" s="104"/>
      <c r="M26" s="104"/>
      <c r="N26" s="104"/>
      <c r="O26" s="104"/>
      <c r="P26" s="104"/>
      <c r="Q26" s="104"/>
      <c r="R26" s="104"/>
      <c r="S26" s="104"/>
      <c r="T26" s="104"/>
      <c r="U26" s="104"/>
      <c r="V26" s="104"/>
      <c r="W26" s="104"/>
      <c r="X26" s="76"/>
      <c r="Y26" s="76"/>
    </row>
    <row r="27" ht="95.25" customHeight="1">
      <c r="A27" s="112" t="s">
        <v>299</v>
      </c>
      <c r="B27" s="150" t="s">
        <v>92</v>
      </c>
      <c r="C27" s="123" t="s">
        <v>285</v>
      </c>
      <c r="D27" s="123" t="s">
        <v>300</v>
      </c>
      <c r="E27" s="123" t="s">
        <v>301</v>
      </c>
      <c r="F27" s="116" t="s">
        <v>152</v>
      </c>
      <c r="G27" s="116" t="s">
        <v>68</v>
      </c>
      <c r="H27" s="120"/>
      <c r="I27" s="104"/>
      <c r="J27" s="104"/>
      <c r="K27" s="104"/>
      <c r="L27" s="104"/>
      <c r="M27" s="104"/>
      <c r="N27" s="104"/>
      <c r="O27" s="104"/>
      <c r="P27" s="104"/>
      <c r="Q27" s="104"/>
      <c r="R27" s="104"/>
      <c r="S27" s="104"/>
      <c r="T27" s="104"/>
      <c r="U27" s="104"/>
      <c r="V27" s="104"/>
      <c r="W27" s="104"/>
      <c r="X27" s="76"/>
      <c r="Y27" s="76"/>
    </row>
    <row r="28" ht="90.75" customHeight="1">
      <c r="A28" s="112" t="s">
        <v>303</v>
      </c>
      <c r="B28" s="150" t="s">
        <v>92</v>
      </c>
      <c r="C28" s="123" t="s">
        <v>285</v>
      </c>
      <c r="D28" s="123" t="s">
        <v>305</v>
      </c>
      <c r="E28" s="123" t="s">
        <v>306</v>
      </c>
      <c r="F28" s="116" t="s">
        <v>152</v>
      </c>
      <c r="G28" s="116" t="s">
        <v>68</v>
      </c>
      <c r="H28" s="120"/>
      <c r="I28" s="104"/>
      <c r="J28" s="104"/>
      <c r="K28" s="104"/>
      <c r="L28" s="104"/>
      <c r="M28" s="104"/>
      <c r="N28" s="104"/>
      <c r="O28" s="104"/>
      <c r="P28" s="104"/>
      <c r="Q28" s="104"/>
      <c r="R28" s="104"/>
      <c r="S28" s="104"/>
      <c r="T28" s="104"/>
      <c r="U28" s="104"/>
      <c r="V28" s="104"/>
      <c r="W28" s="104"/>
      <c r="X28" s="76"/>
      <c r="Y28" s="76"/>
    </row>
    <row r="29" ht="15.75" customHeight="1">
      <c r="A29" s="170" t="s">
        <v>101</v>
      </c>
      <c r="B29" s="147" t="s">
        <v>307</v>
      </c>
      <c r="C29" s="148"/>
      <c r="D29" s="148"/>
      <c r="E29" s="148"/>
      <c r="F29" s="149"/>
      <c r="G29" s="149"/>
      <c r="H29" s="148"/>
      <c r="I29" s="104"/>
      <c r="J29" s="104"/>
      <c r="K29" s="104"/>
      <c r="L29" s="104"/>
      <c r="M29" s="104"/>
      <c r="N29" s="104"/>
      <c r="O29" s="104"/>
      <c r="P29" s="104"/>
      <c r="Q29" s="104"/>
      <c r="R29" s="104"/>
      <c r="S29" s="104"/>
      <c r="T29" s="104"/>
      <c r="U29" s="104"/>
      <c r="V29" s="104"/>
      <c r="W29" s="104"/>
      <c r="X29" s="76"/>
      <c r="Y29" s="76"/>
    </row>
    <row r="30" ht="75.0" customHeight="1">
      <c r="A30" s="112" t="s">
        <v>311</v>
      </c>
      <c r="B30" s="150" t="s">
        <v>101</v>
      </c>
      <c r="C30" s="123" t="s">
        <v>312</v>
      </c>
      <c r="D30" s="133" t="s">
        <v>313</v>
      </c>
      <c r="E30" s="114" t="s">
        <v>314</v>
      </c>
      <c r="F30" s="116" t="s">
        <v>152</v>
      </c>
      <c r="G30" s="116" t="s">
        <v>159</v>
      </c>
      <c r="H30" s="117"/>
      <c r="I30" s="104"/>
      <c r="J30" s="104"/>
      <c r="K30" s="104"/>
      <c r="L30" s="104"/>
      <c r="M30" s="104"/>
      <c r="N30" s="104"/>
      <c r="O30" s="104"/>
      <c r="P30" s="104"/>
      <c r="Q30" s="104"/>
      <c r="R30" s="104"/>
      <c r="S30" s="104"/>
      <c r="T30" s="104"/>
      <c r="U30" s="104"/>
      <c r="V30" s="104"/>
      <c r="W30" s="104"/>
      <c r="X30" s="76"/>
      <c r="Y30" s="76"/>
    </row>
    <row r="31" ht="66.0" customHeight="1">
      <c r="A31" s="112" t="s">
        <v>317</v>
      </c>
      <c r="B31" s="150" t="s">
        <v>101</v>
      </c>
      <c r="C31" s="123" t="s">
        <v>318</v>
      </c>
      <c r="D31" s="118" t="s">
        <v>320</v>
      </c>
      <c r="E31" s="120" t="s">
        <v>321</v>
      </c>
      <c r="F31" s="116" t="s">
        <v>152</v>
      </c>
      <c r="G31" s="116" t="s">
        <v>159</v>
      </c>
      <c r="H31" s="118"/>
      <c r="I31" s="104"/>
      <c r="J31" s="104"/>
      <c r="K31" s="104"/>
      <c r="L31" s="104"/>
      <c r="M31" s="104"/>
      <c r="N31" s="104"/>
      <c r="O31" s="104"/>
      <c r="P31" s="104"/>
      <c r="Q31" s="104"/>
      <c r="R31" s="104"/>
      <c r="S31" s="104"/>
      <c r="T31" s="104"/>
      <c r="U31" s="104"/>
      <c r="V31" s="104"/>
      <c r="W31" s="104"/>
      <c r="X31" s="76"/>
      <c r="Y31" s="76"/>
    </row>
    <row r="32" ht="78.75" customHeight="1">
      <c r="A32" s="112" t="s">
        <v>323</v>
      </c>
      <c r="B32" s="150" t="s">
        <v>101</v>
      </c>
      <c r="C32" s="123" t="s">
        <v>324</v>
      </c>
      <c r="D32" s="118" t="s">
        <v>325</v>
      </c>
      <c r="E32" s="120" t="s">
        <v>321</v>
      </c>
      <c r="F32" s="116" t="s">
        <v>152</v>
      </c>
      <c r="G32" s="116" t="s">
        <v>159</v>
      </c>
      <c r="H32" s="117"/>
      <c r="I32" s="104"/>
      <c r="J32" s="104"/>
      <c r="K32" s="104"/>
      <c r="L32" s="104"/>
      <c r="M32" s="104"/>
      <c r="N32" s="104"/>
      <c r="O32" s="104"/>
      <c r="P32" s="104"/>
      <c r="Q32" s="104"/>
      <c r="R32" s="104"/>
      <c r="S32" s="104"/>
      <c r="T32" s="104"/>
      <c r="U32" s="104"/>
      <c r="V32" s="104"/>
      <c r="W32" s="104"/>
      <c r="X32" s="76"/>
      <c r="Y32" s="76"/>
    </row>
    <row r="33" ht="69.75" customHeight="1">
      <c r="A33" s="112" t="s">
        <v>326</v>
      </c>
      <c r="B33" s="150" t="s">
        <v>101</v>
      </c>
      <c r="C33" s="123" t="s">
        <v>327</v>
      </c>
      <c r="D33" s="118" t="s">
        <v>328</v>
      </c>
      <c r="E33" s="120" t="s">
        <v>321</v>
      </c>
      <c r="F33" s="116" t="s">
        <v>152</v>
      </c>
      <c r="G33" s="116" t="s">
        <v>68</v>
      </c>
      <c r="H33" s="120" t="s">
        <v>331</v>
      </c>
      <c r="I33" s="104"/>
      <c r="J33" s="104"/>
      <c r="K33" s="104"/>
      <c r="L33" s="104"/>
      <c r="M33" s="104"/>
      <c r="N33" s="104"/>
      <c r="O33" s="104"/>
      <c r="P33" s="104"/>
      <c r="Q33" s="104"/>
      <c r="R33" s="104"/>
      <c r="S33" s="104"/>
      <c r="T33" s="104"/>
      <c r="U33" s="104"/>
      <c r="V33" s="104"/>
      <c r="W33" s="104"/>
      <c r="X33" s="76"/>
      <c r="Y33" s="76"/>
    </row>
    <row r="34" ht="62.25" customHeight="1">
      <c r="A34" s="112" t="s">
        <v>332</v>
      </c>
      <c r="B34" s="150" t="s">
        <v>101</v>
      </c>
      <c r="C34" s="123" t="s">
        <v>333</v>
      </c>
      <c r="D34" s="118" t="s">
        <v>334</v>
      </c>
      <c r="E34" s="120" t="s">
        <v>321</v>
      </c>
      <c r="F34" s="116" t="s">
        <v>152</v>
      </c>
      <c r="G34" s="116" t="s">
        <v>68</v>
      </c>
      <c r="H34" s="120" t="s">
        <v>331</v>
      </c>
      <c r="I34" s="104"/>
      <c r="J34" s="104"/>
      <c r="K34" s="104"/>
      <c r="L34" s="104"/>
      <c r="M34" s="104"/>
      <c r="N34" s="104"/>
      <c r="O34" s="104"/>
      <c r="P34" s="104"/>
      <c r="Q34" s="104"/>
      <c r="R34" s="104"/>
      <c r="S34" s="104"/>
      <c r="T34" s="104"/>
      <c r="U34" s="104"/>
      <c r="V34" s="104"/>
      <c r="W34" s="104"/>
      <c r="X34" s="76"/>
      <c r="Y34" s="76"/>
    </row>
    <row r="35" ht="51.75" customHeight="1">
      <c r="A35" s="112" t="s">
        <v>336</v>
      </c>
      <c r="B35" s="150" t="s">
        <v>101</v>
      </c>
      <c r="C35" s="123" t="s">
        <v>337</v>
      </c>
      <c r="D35" s="118" t="s">
        <v>339</v>
      </c>
      <c r="E35" s="120" t="s">
        <v>321</v>
      </c>
      <c r="F35" s="116" t="s">
        <v>152</v>
      </c>
      <c r="G35" s="116" t="s">
        <v>68</v>
      </c>
      <c r="H35" s="120" t="s">
        <v>331</v>
      </c>
      <c r="I35" s="104"/>
      <c r="J35" s="104"/>
      <c r="K35" s="104"/>
      <c r="L35" s="104"/>
      <c r="M35" s="104"/>
      <c r="N35" s="104"/>
      <c r="O35" s="104"/>
      <c r="P35" s="104"/>
      <c r="Q35" s="104"/>
      <c r="R35" s="104"/>
      <c r="S35" s="104"/>
      <c r="T35" s="104"/>
      <c r="U35" s="104"/>
      <c r="V35" s="104"/>
      <c r="W35" s="104"/>
      <c r="X35" s="76"/>
      <c r="Y35" s="76"/>
    </row>
    <row r="36" ht="67.5" customHeight="1">
      <c r="A36" s="112" t="s">
        <v>340</v>
      </c>
      <c r="B36" s="150" t="s">
        <v>101</v>
      </c>
      <c r="C36" s="123" t="s">
        <v>341</v>
      </c>
      <c r="D36" s="118" t="s">
        <v>343</v>
      </c>
      <c r="E36" s="120" t="s">
        <v>321</v>
      </c>
      <c r="F36" s="116" t="s">
        <v>152</v>
      </c>
      <c r="G36" s="116" t="s">
        <v>68</v>
      </c>
      <c r="H36" s="120" t="s">
        <v>331</v>
      </c>
      <c r="I36" s="104"/>
      <c r="J36" s="104"/>
      <c r="K36" s="104"/>
      <c r="L36" s="104"/>
      <c r="M36" s="104"/>
      <c r="N36" s="104"/>
      <c r="O36" s="104"/>
      <c r="P36" s="104"/>
      <c r="Q36" s="104"/>
      <c r="R36" s="104"/>
      <c r="S36" s="104"/>
      <c r="T36" s="104"/>
      <c r="U36" s="104"/>
      <c r="V36" s="104"/>
      <c r="W36" s="104"/>
      <c r="X36" s="76"/>
      <c r="Y36" s="76"/>
    </row>
    <row r="37" ht="65.25" customHeight="1">
      <c r="A37" s="112" t="s">
        <v>345</v>
      </c>
      <c r="B37" s="150" t="s">
        <v>101</v>
      </c>
      <c r="C37" s="120" t="s">
        <v>346</v>
      </c>
      <c r="D37" s="120" t="s">
        <v>347</v>
      </c>
      <c r="E37" s="120" t="s">
        <v>348</v>
      </c>
      <c r="F37" s="116" t="s">
        <v>152</v>
      </c>
      <c r="G37" s="116" t="s">
        <v>68</v>
      </c>
      <c r="H37" s="120" t="s">
        <v>331</v>
      </c>
      <c r="I37" s="104"/>
      <c r="J37" s="177"/>
      <c r="K37" s="104"/>
      <c r="L37" s="104"/>
      <c r="M37" s="104"/>
      <c r="N37" s="104"/>
      <c r="O37" s="104"/>
      <c r="P37" s="104"/>
      <c r="Q37" s="104"/>
      <c r="R37" s="104"/>
      <c r="S37" s="104"/>
      <c r="T37" s="104"/>
      <c r="U37" s="104"/>
      <c r="V37" s="104"/>
      <c r="W37" s="104"/>
      <c r="X37" s="76"/>
      <c r="Y37" s="76"/>
    </row>
    <row r="38" ht="57.0" customHeight="1">
      <c r="A38" s="145" t="s">
        <v>109</v>
      </c>
      <c r="B38" s="147" t="s">
        <v>351</v>
      </c>
      <c r="C38" s="148"/>
      <c r="D38" s="148"/>
      <c r="E38" s="148"/>
      <c r="F38" s="149"/>
      <c r="G38" s="149"/>
      <c r="H38" s="148"/>
      <c r="I38" s="104"/>
      <c r="J38" s="104"/>
      <c r="K38" s="104"/>
      <c r="L38" s="104"/>
      <c r="M38" s="104"/>
      <c r="N38" s="104"/>
      <c r="O38" s="104"/>
      <c r="P38" s="104"/>
      <c r="Q38" s="104"/>
      <c r="R38" s="104"/>
      <c r="S38" s="104"/>
      <c r="T38" s="104"/>
      <c r="U38" s="104"/>
      <c r="V38" s="104"/>
      <c r="W38" s="104"/>
      <c r="X38" s="76"/>
      <c r="Y38" s="76"/>
    </row>
    <row r="39" ht="88.5" customHeight="1">
      <c r="A39" s="112" t="s">
        <v>352</v>
      </c>
      <c r="B39" s="150" t="s">
        <v>109</v>
      </c>
      <c r="C39" s="123" t="s">
        <v>354</v>
      </c>
      <c r="D39" s="123" t="s">
        <v>355</v>
      </c>
      <c r="E39" s="120" t="s">
        <v>356</v>
      </c>
      <c r="F39" s="116" t="s">
        <v>152</v>
      </c>
      <c r="G39" s="116" t="s">
        <v>159</v>
      </c>
      <c r="H39" s="118"/>
      <c r="I39" s="104"/>
      <c r="J39" s="104"/>
      <c r="K39" s="104"/>
      <c r="L39" s="104"/>
      <c r="M39" s="104"/>
      <c r="N39" s="104"/>
      <c r="O39" s="104"/>
      <c r="P39" s="104"/>
      <c r="Q39" s="104"/>
      <c r="R39" s="104"/>
      <c r="S39" s="104"/>
      <c r="T39" s="104"/>
      <c r="U39" s="104"/>
      <c r="V39" s="104"/>
      <c r="W39" s="104"/>
      <c r="X39" s="76"/>
      <c r="Y39" s="76"/>
    </row>
    <row r="40" ht="81.75" customHeight="1">
      <c r="A40" s="112" t="s">
        <v>358</v>
      </c>
      <c r="B40" s="150" t="s">
        <v>109</v>
      </c>
      <c r="C40" s="123" t="s">
        <v>359</v>
      </c>
      <c r="D40" s="123" t="s">
        <v>360</v>
      </c>
      <c r="E40" s="123" t="s">
        <v>361</v>
      </c>
      <c r="F40" s="116" t="s">
        <v>152</v>
      </c>
      <c r="G40" s="116" t="s">
        <v>68</v>
      </c>
      <c r="H40" s="117" t="s">
        <v>363</v>
      </c>
      <c r="I40" s="104"/>
      <c r="J40" s="104"/>
      <c r="K40" s="104"/>
      <c r="L40" s="104"/>
      <c r="M40" s="104"/>
      <c r="N40" s="104"/>
      <c r="O40" s="104"/>
      <c r="P40" s="104"/>
      <c r="Q40" s="104"/>
      <c r="R40" s="104"/>
      <c r="S40" s="104"/>
      <c r="T40" s="104"/>
      <c r="U40" s="104"/>
      <c r="V40" s="104"/>
      <c r="W40" s="104"/>
      <c r="X40" s="76"/>
      <c r="Y40" s="76"/>
    </row>
    <row r="41" ht="72.75" customHeight="1">
      <c r="A41" s="112" t="s">
        <v>364</v>
      </c>
      <c r="B41" s="150" t="s">
        <v>109</v>
      </c>
      <c r="C41" s="123" t="s">
        <v>367</v>
      </c>
      <c r="D41" s="123" t="s">
        <v>368</v>
      </c>
      <c r="E41" s="123" t="s">
        <v>369</v>
      </c>
      <c r="F41" s="116" t="s">
        <v>152</v>
      </c>
      <c r="G41" s="116" t="s">
        <v>159</v>
      </c>
      <c r="H41" s="118"/>
      <c r="I41" s="104"/>
      <c r="J41" s="104"/>
      <c r="K41" s="104"/>
      <c r="L41" s="104"/>
      <c r="M41" s="104"/>
      <c r="N41" s="104"/>
      <c r="O41" s="104"/>
      <c r="P41" s="104"/>
      <c r="Q41" s="104"/>
      <c r="R41" s="104"/>
      <c r="S41" s="104"/>
      <c r="T41" s="104"/>
      <c r="U41" s="104"/>
      <c r="V41" s="104"/>
      <c r="W41" s="104"/>
      <c r="X41" s="76"/>
      <c r="Y41" s="76"/>
    </row>
    <row r="42" ht="93.0" customHeight="1">
      <c r="A42" s="112" t="s">
        <v>370</v>
      </c>
      <c r="B42" s="150" t="s">
        <v>109</v>
      </c>
      <c r="C42" s="133" t="s">
        <v>371</v>
      </c>
      <c r="D42" s="133" t="s">
        <v>372</v>
      </c>
      <c r="E42" s="133" t="s">
        <v>373</v>
      </c>
      <c r="F42" s="116" t="s">
        <v>152</v>
      </c>
      <c r="G42" s="116" t="s">
        <v>68</v>
      </c>
      <c r="H42" s="113" t="s">
        <v>375</v>
      </c>
      <c r="I42" s="104"/>
      <c r="J42" s="104"/>
      <c r="K42" s="104"/>
      <c r="L42" s="104"/>
      <c r="M42" s="104"/>
      <c r="N42" s="104"/>
      <c r="O42" s="104"/>
      <c r="P42" s="104"/>
      <c r="Q42" s="104"/>
      <c r="R42" s="104"/>
      <c r="S42" s="104"/>
      <c r="T42" s="104"/>
      <c r="U42" s="104"/>
      <c r="V42" s="104"/>
      <c r="W42" s="104"/>
      <c r="X42" s="76"/>
      <c r="Y42" s="76"/>
    </row>
    <row r="43" ht="129.0" customHeight="1">
      <c r="A43" s="112" t="s">
        <v>377</v>
      </c>
      <c r="B43" s="150" t="s">
        <v>109</v>
      </c>
      <c r="C43" s="123" t="s">
        <v>378</v>
      </c>
      <c r="D43" s="123" t="s">
        <v>379</v>
      </c>
      <c r="E43" s="123" t="s">
        <v>380</v>
      </c>
      <c r="F43" s="116" t="s">
        <v>152</v>
      </c>
      <c r="G43" s="116" t="s">
        <v>68</v>
      </c>
      <c r="H43" s="113" t="s">
        <v>375</v>
      </c>
      <c r="I43" s="104"/>
      <c r="J43" s="104"/>
      <c r="K43" s="104"/>
      <c r="L43" s="104"/>
      <c r="M43" s="104"/>
      <c r="N43" s="104"/>
      <c r="O43" s="104"/>
      <c r="P43" s="104"/>
      <c r="Q43" s="104"/>
      <c r="R43" s="104"/>
      <c r="S43" s="104"/>
      <c r="T43" s="104"/>
      <c r="U43" s="104"/>
      <c r="V43" s="104"/>
      <c r="W43" s="104"/>
      <c r="X43" s="76"/>
      <c r="Y43" s="76"/>
    </row>
    <row r="44" ht="15.75" customHeight="1">
      <c r="A44" s="145" t="s">
        <v>116</v>
      </c>
      <c r="B44" s="147" t="s">
        <v>381</v>
      </c>
      <c r="C44" s="148"/>
      <c r="D44" s="148"/>
      <c r="E44" s="148"/>
      <c r="F44" s="149"/>
      <c r="G44" s="149"/>
      <c r="H44" s="148"/>
      <c r="I44" s="104"/>
      <c r="J44" s="104"/>
      <c r="K44" s="104"/>
      <c r="L44" s="104"/>
      <c r="M44" s="104"/>
      <c r="N44" s="104"/>
      <c r="O44" s="104"/>
      <c r="P44" s="104"/>
      <c r="Q44" s="104"/>
      <c r="R44" s="104"/>
      <c r="S44" s="104"/>
      <c r="T44" s="104"/>
      <c r="U44" s="104"/>
      <c r="V44" s="104"/>
      <c r="W44" s="104"/>
      <c r="X44" s="76"/>
      <c r="Y44" s="76"/>
    </row>
    <row r="45" ht="90.75" customHeight="1">
      <c r="A45" s="112" t="s">
        <v>382</v>
      </c>
      <c r="B45" s="113" t="s">
        <v>116</v>
      </c>
      <c r="C45" s="123" t="s">
        <v>383</v>
      </c>
      <c r="D45" s="123" t="s">
        <v>384</v>
      </c>
      <c r="E45" s="123" t="s">
        <v>385</v>
      </c>
      <c r="F45" s="116" t="s">
        <v>152</v>
      </c>
      <c r="G45" s="116" t="s">
        <v>159</v>
      </c>
      <c r="H45" s="117"/>
      <c r="I45" s="104"/>
      <c r="J45" s="104"/>
      <c r="K45" s="104"/>
      <c r="L45" s="104"/>
      <c r="M45" s="104"/>
      <c r="N45" s="104"/>
      <c r="O45" s="104"/>
      <c r="P45" s="104"/>
      <c r="Q45" s="104"/>
      <c r="R45" s="104"/>
      <c r="S45" s="104"/>
      <c r="T45" s="104"/>
      <c r="U45" s="104"/>
      <c r="V45" s="104"/>
      <c r="W45" s="104"/>
      <c r="X45" s="76"/>
      <c r="Y45" s="76"/>
    </row>
    <row r="46" ht="81.75" customHeight="1">
      <c r="A46" s="112" t="s">
        <v>386</v>
      </c>
      <c r="B46" s="113" t="s">
        <v>116</v>
      </c>
      <c r="C46" s="120" t="s">
        <v>387</v>
      </c>
      <c r="D46" s="120" t="s">
        <v>388</v>
      </c>
      <c r="E46" s="123" t="s">
        <v>389</v>
      </c>
      <c r="F46" s="116" t="s">
        <v>152</v>
      </c>
      <c r="G46" s="116" t="s">
        <v>159</v>
      </c>
      <c r="H46" s="118"/>
      <c r="I46" s="104"/>
      <c r="J46" s="104"/>
      <c r="K46" s="104"/>
      <c r="L46" s="104"/>
      <c r="M46" s="104"/>
      <c r="N46" s="104"/>
      <c r="O46" s="104"/>
      <c r="P46" s="104"/>
      <c r="Q46" s="104"/>
      <c r="R46" s="104"/>
      <c r="S46" s="104"/>
      <c r="T46" s="104"/>
      <c r="U46" s="104"/>
      <c r="V46" s="104"/>
      <c r="W46" s="104"/>
      <c r="X46" s="76"/>
      <c r="Y46" s="76"/>
    </row>
    <row r="47" ht="79.5" customHeight="1">
      <c r="A47" s="112" t="s">
        <v>390</v>
      </c>
      <c r="B47" s="113" t="s">
        <v>116</v>
      </c>
      <c r="C47" s="114" t="s">
        <v>391</v>
      </c>
      <c r="D47" s="123" t="s">
        <v>392</v>
      </c>
      <c r="E47" s="123" t="s">
        <v>393</v>
      </c>
      <c r="F47" s="116" t="s">
        <v>152</v>
      </c>
      <c r="G47" s="116" t="s">
        <v>68</v>
      </c>
      <c r="H47" s="117" t="s">
        <v>394</v>
      </c>
      <c r="I47" s="104"/>
      <c r="J47" s="104"/>
      <c r="K47" s="104"/>
      <c r="L47" s="104"/>
      <c r="M47" s="104"/>
      <c r="N47" s="104"/>
      <c r="O47" s="104"/>
      <c r="P47" s="104"/>
      <c r="Q47" s="104"/>
      <c r="R47" s="104"/>
      <c r="S47" s="104"/>
      <c r="T47" s="104"/>
      <c r="U47" s="104"/>
      <c r="V47" s="104"/>
      <c r="W47" s="104"/>
      <c r="X47" s="76"/>
      <c r="Y47" s="76"/>
    </row>
    <row r="48" ht="45.75" customHeight="1">
      <c r="A48" s="112" t="s">
        <v>395</v>
      </c>
      <c r="B48" s="113" t="s">
        <v>116</v>
      </c>
      <c r="C48" s="114" t="s">
        <v>391</v>
      </c>
      <c r="D48" s="123" t="s">
        <v>396</v>
      </c>
      <c r="E48" s="123" t="s">
        <v>397</v>
      </c>
      <c r="F48" s="116" t="s">
        <v>152</v>
      </c>
      <c r="G48" s="116" t="s">
        <v>159</v>
      </c>
      <c r="H48" s="120"/>
      <c r="I48" s="104"/>
      <c r="J48" s="104"/>
      <c r="K48" s="104"/>
      <c r="L48" s="104"/>
      <c r="M48" s="104"/>
      <c r="N48" s="104"/>
      <c r="O48" s="104"/>
      <c r="P48" s="104"/>
      <c r="Q48" s="104"/>
      <c r="R48" s="104"/>
      <c r="S48" s="104"/>
      <c r="T48" s="104"/>
      <c r="U48" s="104"/>
      <c r="V48" s="104"/>
      <c r="W48" s="104"/>
      <c r="X48" s="76"/>
      <c r="Y48" s="76"/>
    </row>
    <row r="49" ht="66.0" customHeight="1">
      <c r="A49" s="112" t="s">
        <v>398</v>
      </c>
      <c r="B49" s="113" t="s">
        <v>116</v>
      </c>
      <c r="C49" s="123" t="s">
        <v>399</v>
      </c>
      <c r="D49" s="123" t="s">
        <v>400</v>
      </c>
      <c r="E49" s="123" t="s">
        <v>401</v>
      </c>
      <c r="F49" s="116" t="s">
        <v>152</v>
      </c>
      <c r="G49" s="116" t="s">
        <v>68</v>
      </c>
      <c r="H49" s="117"/>
      <c r="I49" s="104"/>
      <c r="J49" s="104"/>
      <c r="K49" s="104"/>
      <c r="L49" s="104"/>
      <c r="M49" s="104"/>
      <c r="N49" s="104"/>
      <c r="O49" s="104"/>
      <c r="P49" s="104"/>
      <c r="Q49" s="104"/>
      <c r="R49" s="104"/>
      <c r="S49" s="104"/>
      <c r="T49" s="104"/>
      <c r="U49" s="104"/>
      <c r="V49" s="104"/>
      <c r="W49" s="104"/>
      <c r="X49" s="76"/>
      <c r="Y49" s="76"/>
    </row>
    <row r="50" ht="98.25" customHeight="1">
      <c r="A50" s="112" t="s">
        <v>402</v>
      </c>
      <c r="B50" s="113" t="s">
        <v>116</v>
      </c>
      <c r="C50" s="123" t="s">
        <v>403</v>
      </c>
      <c r="D50" s="123" t="s">
        <v>404</v>
      </c>
      <c r="E50" s="123" t="s">
        <v>405</v>
      </c>
      <c r="F50" s="116" t="s">
        <v>152</v>
      </c>
      <c r="G50" s="116" t="s">
        <v>68</v>
      </c>
      <c r="H50" s="117" t="s">
        <v>406</v>
      </c>
      <c r="I50" s="104"/>
      <c r="J50" s="104"/>
      <c r="K50" s="104"/>
      <c r="L50" s="104"/>
      <c r="M50" s="104"/>
      <c r="N50" s="104"/>
      <c r="O50" s="104"/>
      <c r="P50" s="104"/>
      <c r="Q50" s="104"/>
      <c r="R50" s="104"/>
      <c r="S50" s="104"/>
      <c r="T50" s="104"/>
      <c r="U50" s="104"/>
      <c r="V50" s="104"/>
      <c r="W50" s="104"/>
      <c r="X50" s="76"/>
      <c r="Y50" s="76"/>
    </row>
    <row r="51" ht="83.25" customHeight="1">
      <c r="A51" s="112" t="s">
        <v>407</v>
      </c>
      <c r="B51" s="113" t="s">
        <v>116</v>
      </c>
      <c r="C51" s="123" t="s">
        <v>408</v>
      </c>
      <c r="D51" s="123" t="s">
        <v>409</v>
      </c>
      <c r="E51" s="123" t="s">
        <v>410</v>
      </c>
      <c r="F51" s="116" t="s">
        <v>152</v>
      </c>
      <c r="G51" s="116" t="s">
        <v>68</v>
      </c>
      <c r="H51" s="117" t="s">
        <v>411</v>
      </c>
      <c r="I51" s="104"/>
      <c r="J51" s="104"/>
      <c r="K51" s="104"/>
      <c r="L51" s="104"/>
      <c r="M51" s="104"/>
      <c r="N51" s="104"/>
      <c r="O51" s="104"/>
      <c r="P51" s="104"/>
      <c r="Q51" s="104"/>
      <c r="R51" s="104"/>
      <c r="S51" s="104"/>
      <c r="T51" s="104"/>
      <c r="U51" s="104"/>
      <c r="V51" s="104"/>
      <c r="W51" s="104"/>
      <c r="X51" s="76"/>
      <c r="Y51" s="76"/>
    </row>
    <row r="52" ht="102.75" customHeight="1">
      <c r="A52" s="112" t="s">
        <v>412</v>
      </c>
      <c r="B52" s="113" t="s">
        <v>116</v>
      </c>
      <c r="C52" s="123" t="s">
        <v>413</v>
      </c>
      <c r="D52" s="123" t="s">
        <v>414</v>
      </c>
      <c r="E52" s="123" t="s">
        <v>415</v>
      </c>
      <c r="F52" s="116" t="s">
        <v>152</v>
      </c>
      <c r="G52" s="116" t="s">
        <v>68</v>
      </c>
      <c r="H52" s="117" t="s">
        <v>416</v>
      </c>
      <c r="I52" s="104"/>
      <c r="J52" s="104"/>
      <c r="K52" s="104"/>
      <c r="L52" s="104"/>
      <c r="M52" s="104"/>
      <c r="N52" s="104"/>
      <c r="O52" s="104"/>
      <c r="P52" s="104"/>
      <c r="Q52" s="104"/>
      <c r="R52" s="104"/>
      <c r="S52" s="104"/>
      <c r="T52" s="104"/>
      <c r="U52" s="104"/>
      <c r="V52" s="104"/>
      <c r="W52" s="104"/>
      <c r="X52" s="76"/>
      <c r="Y52" s="76"/>
    </row>
    <row r="53" ht="15.75" customHeight="1">
      <c r="A53" s="145" t="s">
        <v>123</v>
      </c>
      <c r="B53" s="184" t="s">
        <v>124</v>
      </c>
      <c r="C53" s="148"/>
      <c r="D53" s="148"/>
      <c r="E53" s="148"/>
      <c r="F53" s="149"/>
      <c r="G53" s="149"/>
      <c r="H53" s="148"/>
      <c r="I53" s="104"/>
      <c r="J53" s="104"/>
      <c r="K53" s="104"/>
      <c r="L53" s="104"/>
      <c r="M53" s="104"/>
      <c r="N53" s="104"/>
      <c r="O53" s="104"/>
      <c r="P53" s="104"/>
      <c r="Q53" s="104"/>
      <c r="R53" s="104"/>
      <c r="S53" s="104"/>
      <c r="T53" s="104"/>
      <c r="U53" s="104"/>
      <c r="V53" s="104"/>
      <c r="W53" s="104"/>
      <c r="X53" s="76"/>
      <c r="Y53" s="76"/>
    </row>
    <row r="54" ht="72.75" customHeight="1">
      <c r="A54" s="112" t="s">
        <v>417</v>
      </c>
      <c r="B54" s="113" t="s">
        <v>123</v>
      </c>
      <c r="C54" s="123" t="s">
        <v>418</v>
      </c>
      <c r="D54" s="185" t="s">
        <v>419</v>
      </c>
      <c r="E54" s="123" t="s">
        <v>420</v>
      </c>
      <c r="F54" s="116" t="s">
        <v>152</v>
      </c>
      <c r="G54" s="116" t="s">
        <v>68</v>
      </c>
      <c r="H54" s="117" t="s">
        <v>421</v>
      </c>
      <c r="I54" s="104"/>
      <c r="J54" s="104"/>
      <c r="K54" s="104"/>
      <c r="L54" s="104"/>
      <c r="M54" s="104"/>
      <c r="N54" s="104"/>
      <c r="O54" s="104"/>
      <c r="P54" s="104"/>
      <c r="Q54" s="104"/>
      <c r="R54" s="104"/>
      <c r="S54" s="104"/>
      <c r="T54" s="104"/>
      <c r="U54" s="104"/>
      <c r="V54" s="104"/>
      <c r="W54" s="104"/>
      <c r="X54" s="104"/>
      <c r="Y54" s="104"/>
    </row>
    <row r="55" ht="98.25" customHeight="1">
      <c r="A55" s="112" t="s">
        <v>422</v>
      </c>
      <c r="B55" s="113" t="s">
        <v>123</v>
      </c>
      <c r="C55" s="123" t="s">
        <v>423</v>
      </c>
      <c r="D55" s="123" t="s">
        <v>424</v>
      </c>
      <c r="E55" s="123" t="s">
        <v>425</v>
      </c>
      <c r="F55" s="116" t="s">
        <v>152</v>
      </c>
      <c r="G55" s="116" t="s">
        <v>68</v>
      </c>
      <c r="H55" s="186" t="s">
        <v>426</v>
      </c>
      <c r="I55" s="104"/>
      <c r="J55" s="104"/>
      <c r="K55" s="104"/>
      <c r="L55" s="104"/>
      <c r="M55" s="104"/>
      <c r="N55" s="104"/>
      <c r="O55" s="104"/>
      <c r="P55" s="104"/>
      <c r="Q55" s="104"/>
      <c r="R55" s="104"/>
      <c r="S55" s="104"/>
      <c r="T55" s="104"/>
      <c r="U55" s="104"/>
      <c r="V55" s="104"/>
      <c r="W55" s="104"/>
      <c r="X55" s="104"/>
      <c r="Y55" s="104"/>
    </row>
    <row r="56" ht="69.75" customHeight="1">
      <c r="A56" s="112" t="s">
        <v>427</v>
      </c>
      <c r="B56" s="113" t="s">
        <v>123</v>
      </c>
      <c r="C56" s="123" t="s">
        <v>428</v>
      </c>
      <c r="D56" s="123" t="s">
        <v>429</v>
      </c>
      <c r="E56" s="123" t="s">
        <v>430</v>
      </c>
      <c r="F56" s="116" t="s">
        <v>152</v>
      </c>
      <c r="G56" s="116" t="s">
        <v>68</v>
      </c>
      <c r="H56" s="117" t="s">
        <v>431</v>
      </c>
      <c r="I56" s="104"/>
      <c r="J56" s="104"/>
      <c r="K56" s="104"/>
      <c r="L56" s="104"/>
      <c r="M56" s="104"/>
      <c r="N56" s="104"/>
      <c r="O56" s="104"/>
      <c r="P56" s="104"/>
      <c r="Q56" s="104"/>
      <c r="R56" s="104"/>
      <c r="S56" s="104"/>
      <c r="T56" s="104"/>
      <c r="U56" s="104"/>
      <c r="V56" s="104"/>
      <c r="W56" s="104"/>
      <c r="X56" s="104"/>
      <c r="Y56" s="104"/>
      <c r="Z56" s="104"/>
    </row>
    <row r="57" ht="72.75" customHeight="1">
      <c r="A57" s="112" t="s">
        <v>432</v>
      </c>
      <c r="B57" s="113" t="s">
        <v>123</v>
      </c>
      <c r="C57" s="123" t="s">
        <v>433</v>
      </c>
      <c r="D57" s="123" t="s">
        <v>434</v>
      </c>
      <c r="E57" s="120" t="s">
        <v>435</v>
      </c>
      <c r="F57" s="116" t="s">
        <v>152</v>
      </c>
      <c r="G57" s="116" t="s">
        <v>68</v>
      </c>
      <c r="H57" s="118" t="s">
        <v>436</v>
      </c>
      <c r="I57" s="104"/>
      <c r="J57" s="104"/>
      <c r="K57" s="104"/>
      <c r="L57" s="104"/>
      <c r="M57" s="104"/>
      <c r="N57" s="104"/>
      <c r="O57" s="104"/>
      <c r="P57" s="104"/>
      <c r="Q57" s="104"/>
      <c r="R57" s="104"/>
      <c r="S57" s="104"/>
      <c r="T57" s="104"/>
      <c r="U57" s="104"/>
      <c r="V57" s="104"/>
      <c r="W57" s="104"/>
      <c r="X57" s="104"/>
      <c r="Y57" s="104"/>
      <c r="Z57" s="104"/>
    </row>
    <row r="58" ht="66.75" customHeight="1">
      <c r="A58" s="112" t="s">
        <v>437</v>
      </c>
      <c r="B58" s="113" t="s">
        <v>123</v>
      </c>
      <c r="C58" s="123" t="s">
        <v>438</v>
      </c>
      <c r="D58" s="123" t="s">
        <v>439</v>
      </c>
      <c r="E58" s="123" t="s">
        <v>440</v>
      </c>
      <c r="F58" s="116" t="s">
        <v>152</v>
      </c>
      <c r="G58" s="116" t="s">
        <v>68</v>
      </c>
      <c r="H58" s="117"/>
      <c r="I58" s="104"/>
      <c r="J58" s="104"/>
      <c r="K58" s="104"/>
      <c r="L58" s="104"/>
      <c r="M58" s="104"/>
      <c r="N58" s="104"/>
      <c r="O58" s="104"/>
      <c r="P58" s="104"/>
      <c r="Q58" s="104"/>
      <c r="R58" s="104"/>
      <c r="S58" s="104"/>
      <c r="T58" s="104"/>
      <c r="U58" s="104"/>
      <c r="V58" s="104"/>
      <c r="W58" s="104"/>
      <c r="X58" s="104"/>
      <c r="Y58" s="104"/>
      <c r="Z58" s="104"/>
    </row>
    <row r="59" ht="90.75" customHeight="1">
      <c r="A59" s="112" t="s">
        <v>441</v>
      </c>
      <c r="B59" s="113" t="s">
        <v>123</v>
      </c>
      <c r="C59" s="123" t="s">
        <v>442</v>
      </c>
      <c r="D59" s="123" t="s">
        <v>443</v>
      </c>
      <c r="E59" s="123" t="s">
        <v>444</v>
      </c>
      <c r="F59" s="116" t="s">
        <v>152</v>
      </c>
      <c r="G59" s="116" t="s">
        <v>68</v>
      </c>
      <c r="H59" s="120"/>
      <c r="I59" s="104"/>
      <c r="J59" s="104"/>
      <c r="K59" s="104"/>
      <c r="L59" s="104"/>
      <c r="M59" s="104"/>
      <c r="N59" s="104"/>
      <c r="O59" s="104"/>
      <c r="P59" s="104"/>
      <c r="Q59" s="104"/>
      <c r="R59" s="104"/>
      <c r="S59" s="104"/>
      <c r="T59" s="104"/>
      <c r="U59" s="104"/>
      <c r="V59" s="104"/>
      <c r="W59" s="104"/>
      <c r="X59" s="104"/>
      <c r="Y59" s="104"/>
      <c r="Z59" s="104"/>
    </row>
    <row r="60" ht="87.0" customHeight="1">
      <c r="A60" s="112" t="s">
        <v>445</v>
      </c>
      <c r="B60" s="113" t="s">
        <v>123</v>
      </c>
      <c r="C60" s="123" t="s">
        <v>446</v>
      </c>
      <c r="D60" s="123" t="s">
        <v>447</v>
      </c>
      <c r="E60" s="186" t="s">
        <v>435</v>
      </c>
      <c r="F60" s="116" t="s">
        <v>152</v>
      </c>
      <c r="G60" s="116" t="s">
        <v>68</v>
      </c>
      <c r="H60" s="186" t="s">
        <v>448</v>
      </c>
      <c r="I60" s="104"/>
      <c r="J60" s="104"/>
      <c r="K60" s="104"/>
      <c r="L60" s="104"/>
      <c r="M60" s="104"/>
      <c r="N60" s="104"/>
      <c r="O60" s="104"/>
      <c r="P60" s="104"/>
      <c r="Q60" s="104"/>
      <c r="R60" s="104"/>
      <c r="S60" s="104"/>
      <c r="T60" s="104"/>
      <c r="U60" s="104"/>
      <c r="V60" s="104"/>
      <c r="W60" s="104"/>
      <c r="X60" s="104"/>
      <c r="Y60" s="104"/>
      <c r="Z60" s="104"/>
    </row>
    <row r="61" ht="104.25" customHeight="1">
      <c r="A61" s="112" t="s">
        <v>449</v>
      </c>
      <c r="B61" s="113" t="s">
        <v>123</v>
      </c>
      <c r="C61" s="123" t="s">
        <v>450</v>
      </c>
      <c r="D61" s="123" t="s">
        <v>451</v>
      </c>
      <c r="E61" s="123" t="s">
        <v>452</v>
      </c>
      <c r="F61" s="116" t="s">
        <v>152</v>
      </c>
      <c r="G61" s="116" t="s">
        <v>68</v>
      </c>
      <c r="H61" s="186" t="s">
        <v>448</v>
      </c>
      <c r="I61" s="104"/>
      <c r="J61" s="104"/>
      <c r="K61" s="104"/>
      <c r="L61" s="104"/>
      <c r="M61" s="104"/>
      <c r="N61" s="104"/>
      <c r="O61" s="104"/>
      <c r="P61" s="104"/>
      <c r="Q61" s="104"/>
      <c r="R61" s="104"/>
      <c r="S61" s="104"/>
      <c r="T61" s="104"/>
      <c r="U61" s="104"/>
      <c r="V61" s="104"/>
      <c r="W61" s="104"/>
      <c r="X61" s="104"/>
      <c r="Y61" s="104"/>
      <c r="Z61" s="104"/>
    </row>
    <row r="62" ht="117.75" customHeight="1">
      <c r="A62" s="112" t="s">
        <v>453</v>
      </c>
      <c r="B62" s="113" t="s">
        <v>123</v>
      </c>
      <c r="C62" s="123" t="s">
        <v>454</v>
      </c>
      <c r="D62" s="123" t="s">
        <v>455</v>
      </c>
      <c r="E62" s="123" t="s">
        <v>456</v>
      </c>
      <c r="F62" s="116" t="s">
        <v>152</v>
      </c>
      <c r="G62" s="116" t="s">
        <v>68</v>
      </c>
      <c r="H62" s="117" t="s">
        <v>457</v>
      </c>
      <c r="I62" s="104"/>
      <c r="J62" s="104"/>
      <c r="K62" s="104"/>
      <c r="L62" s="104"/>
      <c r="M62" s="104"/>
      <c r="N62" s="104"/>
      <c r="O62" s="104"/>
      <c r="P62" s="104"/>
      <c r="Q62" s="104"/>
      <c r="R62" s="104"/>
      <c r="S62" s="104"/>
      <c r="T62" s="104"/>
      <c r="U62" s="104"/>
      <c r="V62" s="104"/>
      <c r="W62" s="104"/>
      <c r="X62" s="104"/>
      <c r="Y62" s="104"/>
      <c r="Z62" s="104"/>
      <c r="AA62" s="104"/>
    </row>
    <row r="63" ht="15.75" customHeight="1">
      <c r="A63" s="187"/>
      <c r="B63" s="188"/>
      <c r="C63" s="189"/>
      <c r="D63" s="189"/>
      <c r="E63" s="189"/>
      <c r="F63" s="190"/>
      <c r="G63" s="190"/>
      <c r="H63" s="191"/>
      <c r="I63" s="104"/>
      <c r="J63" s="104"/>
      <c r="K63" s="104"/>
      <c r="L63" s="104"/>
      <c r="M63" s="104"/>
      <c r="N63" s="104"/>
      <c r="O63" s="104"/>
      <c r="P63" s="104"/>
      <c r="Q63" s="104"/>
      <c r="R63" s="104"/>
      <c r="S63" s="104"/>
      <c r="T63" s="104"/>
      <c r="U63" s="104"/>
      <c r="V63" s="104"/>
      <c r="W63" s="104"/>
      <c r="X63" s="104"/>
      <c r="Y63" s="104"/>
      <c r="Z63" s="104"/>
      <c r="AA63" s="104"/>
    </row>
    <row r="64" ht="15.75" customHeight="1">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c r="AA64" s="104"/>
    </row>
    <row r="65" ht="15.75" customHeight="1">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c r="AA65" s="104"/>
    </row>
    <row r="66" ht="15.75" customHeight="1">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104"/>
    </row>
    <row r="67" ht="15.75" customHeight="1">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104"/>
    </row>
    <row r="68" ht="15.75" customHeight="1">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row>
    <row r="69" ht="15.75" customHeight="1">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row>
    <row r="70" ht="15.75" customHeight="1">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104"/>
    </row>
    <row r="71" ht="15.75" customHeight="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c r="AA71" s="104"/>
    </row>
    <row r="72" ht="15.75" customHeight="1">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104"/>
    </row>
    <row r="73" ht="15.75" customHeight="1">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c r="AA73" s="104"/>
    </row>
    <row r="74" ht="15.75" customHeight="1">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104"/>
    </row>
    <row r="75" ht="15.75" customHeight="1">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row>
    <row r="76" ht="15.75" customHeight="1">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row>
    <row r="77" ht="15.75" customHeight="1">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row>
    <row r="78" ht="15.75" customHeight="1">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c r="AA78" s="104"/>
    </row>
    <row r="79" ht="15.75" customHeight="1">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c r="AA79" s="104"/>
    </row>
    <row r="80" ht="15.75" customHeight="1">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row>
    <row r="81" ht="15.75" customHeight="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c r="AA81" s="104"/>
    </row>
    <row r="82" ht="15.75" customHeight="1">
      <c r="A82" s="104"/>
      <c r="B82" s="104"/>
      <c r="C82" s="104"/>
      <c r="D82" s="104"/>
      <c r="F82" s="104"/>
      <c r="G82" s="104"/>
      <c r="H82" s="104"/>
      <c r="I82" s="104"/>
      <c r="J82" s="104"/>
      <c r="K82" s="104"/>
      <c r="L82" s="104"/>
      <c r="M82" s="104"/>
      <c r="N82" s="104"/>
      <c r="O82" s="104"/>
      <c r="P82" s="104"/>
      <c r="Q82" s="104"/>
      <c r="R82" s="104"/>
      <c r="S82" s="104"/>
      <c r="T82" s="104"/>
      <c r="U82" s="104"/>
      <c r="V82" s="104"/>
      <c r="W82" s="104"/>
      <c r="X82" s="104"/>
      <c r="Y82" s="104"/>
      <c r="Z82" s="104"/>
      <c r="AA82" s="104"/>
    </row>
    <row r="83" ht="15.75" customHeight="1">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row>
    <row r="84" ht="15.75" customHeight="1">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row>
    <row r="85" ht="15.75" customHeight="1">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104"/>
    </row>
    <row r="86" ht="15.75" customHeight="1">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104"/>
    </row>
    <row r="87" ht="15.75" customHeight="1">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row>
    <row r="88" ht="15.75" customHeight="1">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row>
    <row r="89" ht="15.75" customHeight="1">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row>
    <row r="90" ht="15.75" customHeight="1">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row>
    <row r="91" ht="15.75" customHeight="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row>
    <row r="92" ht="15.75" customHeight="1">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4"/>
    </row>
    <row r="93" ht="15.75" customHeight="1">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row>
    <row r="94" ht="15.75" customHeight="1">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row>
    <row r="95" ht="15.75" customHeight="1">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row>
    <row r="96" ht="15.75" customHeight="1">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row>
    <row r="97" ht="15.75" customHeight="1">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row>
    <row r="98" ht="15.75" customHeight="1">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row>
    <row r="99" ht="15.75" customHeight="1">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row>
    <row r="100" ht="15.75" customHeight="1">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row>
    <row r="101" ht="15.75" customHeight="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row>
    <row r="102" ht="15.75" customHeight="1">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row>
    <row r="103" ht="15.75" customHeight="1">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row>
    <row r="104" ht="15.75" customHeight="1">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row>
    <row r="105" ht="15.75" customHeight="1">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row>
    <row r="106" ht="15.75" customHeight="1">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row>
    <row r="107" ht="15.75" customHeight="1">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row>
    <row r="108" ht="15.75" customHeight="1">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row>
    <row r="109" ht="15.75" customHeight="1">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row>
    <row r="110" ht="15.75" customHeight="1">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row>
    <row r="111" ht="15.75" customHeight="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row>
    <row r="112" ht="15.75" customHeight="1">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row>
    <row r="113" ht="15.75" customHeight="1">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row>
    <row r="114" ht="15.75" customHeight="1">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c r="AA114" s="104"/>
    </row>
    <row r="115" ht="15.75" customHeight="1">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104"/>
    </row>
    <row r="116" ht="15.75" customHeight="1">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row>
    <row r="117" ht="15.75" customHeight="1">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row>
    <row r="118" ht="15.75" customHeight="1">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row>
    <row r="119" ht="15.75" customHeight="1">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row>
    <row r="120" ht="15.75" customHeight="1">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row>
    <row r="121" ht="15.75" customHeight="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row>
    <row r="122" ht="15.75" customHeight="1">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row>
    <row r="123" ht="15.75" customHeight="1">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row>
    <row r="124" ht="15.75" customHeight="1">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row>
    <row r="125" ht="15.75" customHeight="1">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row>
    <row r="126" ht="15.75" customHeight="1">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row>
    <row r="127" ht="15.75" customHeight="1">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row>
    <row r="128" ht="15.75" customHeight="1">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row>
    <row r="129" ht="15.75" customHeight="1">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row>
    <row r="130" ht="15.75" customHeight="1">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row>
    <row r="131" ht="15.75" customHeight="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row>
    <row r="132" ht="15.75" customHeight="1">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row>
    <row r="133" ht="15.75" customHeight="1">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row>
    <row r="134" ht="15.75" customHeight="1">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row>
    <row r="135" ht="15.75" customHeight="1">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row>
    <row r="136" ht="15.75" customHeight="1">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row>
    <row r="137" ht="15.75" customHeight="1">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row>
    <row r="138" ht="15.75" customHeight="1">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row>
    <row r="139" ht="15.75" customHeight="1">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row>
    <row r="140" ht="15.75" customHeight="1">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row>
    <row r="141" ht="15.75" customHeight="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row>
    <row r="142" ht="15.75" customHeight="1">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row>
    <row r="143" ht="15.75" customHeight="1">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row>
    <row r="144" ht="15.75" customHeight="1">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row>
    <row r="145" ht="15.75" customHeight="1">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row>
    <row r="146" ht="15.75" customHeight="1">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row>
    <row r="147" ht="15.75" customHeight="1">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row>
    <row r="148" ht="15.75" customHeight="1">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row>
    <row r="149" ht="15.75" customHeight="1">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row>
    <row r="150" ht="15.75" customHeight="1">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row>
    <row r="151" ht="15.75" customHeight="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row>
    <row r="152" ht="15.75" customHeight="1">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row>
    <row r="153" ht="15.75" customHeight="1">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row>
    <row r="154" ht="15.75" customHeight="1">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row>
    <row r="155" ht="15.75" customHeight="1">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row>
    <row r="156" ht="15.75" customHeight="1">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row>
    <row r="157" ht="15.75" customHeight="1">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row>
    <row r="158" ht="15.75" customHeight="1">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row>
    <row r="159" ht="15.75" customHeight="1">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row>
    <row r="160" ht="15.75" customHeight="1">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row>
    <row r="161" ht="15.75" customHeight="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row>
    <row r="162" ht="15.75" customHeight="1">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row>
    <row r="163" ht="15.75" customHeight="1">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row>
    <row r="164" ht="15.75" customHeight="1">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row>
    <row r="165" ht="15.75" customHeight="1">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row>
    <row r="166" ht="15.75" customHeight="1">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row>
    <row r="167" ht="15.75" customHeight="1">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row>
    <row r="168" ht="15.75" customHeight="1">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row>
    <row r="169" ht="15.75" customHeight="1">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row>
    <row r="170" ht="15.75" customHeight="1">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row>
    <row r="171" ht="15.75" customHeight="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row>
    <row r="172" ht="15.75" customHeight="1">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row>
    <row r="173" ht="15.75" customHeight="1">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row>
    <row r="174" ht="15.75" customHeight="1">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row>
    <row r="175" ht="15.75" customHeight="1">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row>
    <row r="176" ht="15.75" customHeight="1">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row>
    <row r="177" ht="15.75" customHeight="1">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row>
    <row r="178" ht="15.75" customHeight="1">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row>
    <row r="179" ht="15.75" customHeight="1">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row>
    <row r="180" ht="15.75" customHeight="1">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row>
    <row r="181" ht="15.75" customHeight="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row>
    <row r="182" ht="15.75" customHeight="1">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row>
    <row r="183" ht="15.75" customHeight="1">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row>
    <row r="184" ht="15.75" customHeight="1">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row>
    <row r="185" ht="15.75" customHeight="1">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row>
    <row r="186" ht="15.75" customHeight="1">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row>
    <row r="187" ht="15.75" customHeight="1">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row>
    <row r="188" ht="15.75" customHeight="1">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row>
    <row r="189" ht="15.75" customHeight="1">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row>
    <row r="190" ht="15.75" customHeight="1">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row>
    <row r="191" ht="15.75" customHeight="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row>
    <row r="192" ht="15.75" customHeight="1">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row>
    <row r="193" ht="15.75" customHeight="1">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row>
    <row r="194" ht="15.75" customHeight="1">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row>
    <row r="195" ht="15.75" customHeight="1">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row>
    <row r="196" ht="15.75" customHeight="1">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row>
    <row r="197" ht="15.75" customHeight="1">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row>
    <row r="198" ht="15.75" customHeight="1">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row>
    <row r="199" ht="15.75" customHeight="1">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row>
    <row r="200" ht="15.75" customHeight="1">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row>
    <row r="201" ht="15.75" customHeight="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row>
    <row r="202" ht="15.75" customHeight="1">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row>
    <row r="203" ht="15.75" customHeight="1">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row>
    <row r="204" ht="15.75" customHeight="1">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row>
    <row r="205" ht="15.75" customHeight="1">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row>
    <row r="206" ht="15.75" customHeight="1">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row>
    <row r="207" ht="15.75" customHeight="1">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row>
    <row r="208" ht="15.75" customHeight="1">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row>
    <row r="209" ht="15.75" customHeight="1">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row>
    <row r="210" ht="15.75" customHeight="1">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row>
    <row r="211" ht="15.75" customHeight="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row>
    <row r="212" ht="15.75" customHeight="1">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row>
    <row r="213" ht="15.75" customHeight="1">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row>
    <row r="214" ht="15.75" customHeight="1">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row>
    <row r="215" ht="15.75" customHeight="1">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row>
    <row r="216" ht="15.75" customHeight="1">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row>
    <row r="217" ht="15.75" customHeight="1">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row>
    <row r="218" ht="15.75" customHeight="1">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row>
    <row r="219" ht="15.75" customHeight="1">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row>
    <row r="220" ht="15.75" customHeight="1">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row>
    <row r="221" ht="15.75" customHeight="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row>
    <row r="222" ht="15.75" customHeight="1">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row>
    <row r="223" ht="15.75" customHeight="1">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row>
    <row r="224" ht="15.75" customHeight="1">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row>
    <row r="225" ht="15.75" customHeight="1">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row>
    <row r="226" ht="15.75" customHeight="1">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row>
    <row r="227" ht="15.75" customHeight="1">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row>
    <row r="228" ht="15.75" customHeight="1">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row>
    <row r="229" ht="15.75" customHeight="1">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row>
    <row r="230" ht="15.75" customHeight="1">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row>
    <row r="231" ht="15.75" customHeight="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row>
    <row r="232" ht="15.75" customHeight="1">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row>
    <row r="233" ht="15.75" customHeight="1">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row>
    <row r="234" ht="15.75" customHeight="1">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row>
    <row r="235" ht="15.75" customHeight="1">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row>
    <row r="236" ht="15.75" customHeight="1">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row>
    <row r="237" ht="15.75" customHeight="1">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row>
    <row r="238" ht="15.75" customHeight="1">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row>
    <row r="239" ht="15.75" customHeight="1">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row>
    <row r="240" ht="15.75" customHeight="1">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row>
    <row r="241" ht="15.75" customHeight="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row>
    <row r="242" ht="15.75" customHeight="1">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row>
    <row r="243" ht="15.75" customHeight="1">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row>
    <row r="244" ht="15.75" customHeight="1">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row>
    <row r="245" ht="15.75" customHeight="1">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row>
    <row r="246" ht="15.75" customHeight="1">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row>
    <row r="247" ht="15.75" customHeight="1">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row>
    <row r="248" ht="15.75" customHeight="1">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row>
    <row r="249" ht="15.75" customHeight="1">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row>
    <row r="250" ht="15.75" customHeight="1">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row>
    <row r="251" ht="15.75" customHeight="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row>
    <row r="252" ht="15.75" customHeight="1">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row>
    <row r="253" ht="15.75" customHeight="1">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row>
    <row r="254" ht="15.75" customHeight="1">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row>
    <row r="255" ht="15.75" customHeight="1">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row>
    <row r="256" ht="15.75" customHeight="1">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row>
    <row r="257" ht="15.75" customHeight="1">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row>
    <row r="258" ht="15.75" customHeight="1">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row>
    <row r="259" ht="15.75" customHeight="1">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row>
    <row r="260" ht="15.75" customHeight="1">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row>
    <row r="261" ht="15.75" customHeight="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row>
    <row r="262" ht="15.75" customHeight="1">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3:F17 F19:F20 F22:F23 F25:F28 F30:F37 F39:F43 F45:F52 F54:F62">
      <formula1>"Yessica"</formula1>
    </dataValidation>
    <dataValidation type="list" allowBlank="1" sqref="G63">
      <formula1>"Exitoso,Falló,Diferido"</formula1>
    </dataValidation>
    <dataValidation type="list" allowBlank="1" sqref="F63">
      <formula1>"Yessica"</formula1>
    </dataValidation>
    <dataValidation type="list" allowBlank="1" sqref="G3:G17 G19:G20 G22:G23 G25:G28 G30:G37 G39:G43 G45:G52 G54:G62">
      <formula1>"Exitoso,Falló,Diferido"</formula1>
    </dataValidation>
  </dataValidations>
  <printOptions/>
  <pageMargins bottom="1.0" footer="0.0" header="0.0" left="0.75" right="0.75" top="1.0"/>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25"/>
    <col customWidth="1" min="2" max="2" width="14.38"/>
    <col customWidth="1" min="3" max="3" width="33.25"/>
    <col customWidth="1" min="4" max="4" width="16.38"/>
    <col customWidth="1" min="5" max="5" width="20.0"/>
    <col customWidth="1" min="6" max="6" width="16.25"/>
    <col customWidth="1" min="7" max="7" width="17.5"/>
    <col customWidth="1" min="8" max="8" width="14.25"/>
    <col customWidth="1" min="9" max="9" width="21.63"/>
    <col customWidth="1" min="10" max="10" width="35.13"/>
    <col customWidth="1" min="11" max="13" width="7.63"/>
    <col customWidth="1" min="14" max="14" width="31.75"/>
    <col customWidth="1" min="15" max="15" width="42.88"/>
    <col customWidth="1" min="16" max="26" width="7.63"/>
  </cols>
  <sheetData>
    <row r="1" ht="66.75" customHeight="1">
      <c r="A1" s="119" t="s">
        <v>167</v>
      </c>
      <c r="B1" s="119" t="s">
        <v>128</v>
      </c>
      <c r="C1" s="119" t="s">
        <v>171</v>
      </c>
      <c r="D1" s="119" t="s">
        <v>172</v>
      </c>
      <c r="E1" s="119" t="s">
        <v>174</v>
      </c>
      <c r="F1" s="119" t="s">
        <v>175</v>
      </c>
      <c r="G1" s="122" t="s">
        <v>177</v>
      </c>
      <c r="H1" s="119" t="s">
        <v>179</v>
      </c>
      <c r="I1" s="119" t="s">
        <v>181</v>
      </c>
      <c r="J1" s="119" t="s">
        <v>183</v>
      </c>
      <c r="K1" s="104"/>
      <c r="L1" s="104"/>
      <c r="M1" s="104"/>
      <c r="N1" s="104"/>
      <c r="O1" s="104"/>
      <c r="P1" s="104"/>
      <c r="Q1" s="104"/>
      <c r="R1" s="104"/>
      <c r="S1" s="104"/>
      <c r="T1" s="104"/>
      <c r="U1" s="104"/>
      <c r="V1" s="104"/>
      <c r="W1" s="104"/>
      <c r="X1" s="104"/>
      <c r="Y1" s="104"/>
      <c r="Z1" s="76"/>
    </row>
    <row r="2" ht="55.5" customHeight="1">
      <c r="A2" s="125" t="s">
        <v>185</v>
      </c>
      <c r="B2" s="127" t="s">
        <v>49</v>
      </c>
      <c r="C2" s="129" t="s">
        <v>189</v>
      </c>
      <c r="D2" s="131" t="s">
        <v>193</v>
      </c>
      <c r="E2" s="116" t="s">
        <v>152</v>
      </c>
      <c r="F2" s="132">
        <v>45672.0</v>
      </c>
      <c r="G2" s="134"/>
      <c r="H2" s="135" t="s">
        <v>198</v>
      </c>
      <c r="I2" s="136" t="s">
        <v>199</v>
      </c>
      <c r="J2" s="137"/>
      <c r="K2" s="104"/>
      <c r="L2" s="104"/>
      <c r="M2" s="79"/>
      <c r="N2" s="138"/>
      <c r="O2" s="79"/>
      <c r="P2" s="104"/>
      <c r="Q2" s="104"/>
      <c r="R2" s="104"/>
      <c r="S2" s="104"/>
      <c r="T2" s="104"/>
      <c r="U2" s="104"/>
      <c r="V2" s="104"/>
      <c r="W2" s="104"/>
      <c r="X2" s="104"/>
      <c r="Y2" s="104"/>
      <c r="Z2" s="76"/>
    </row>
    <row r="3" ht="82.5" customHeight="1">
      <c r="A3" s="139" t="s">
        <v>206</v>
      </c>
      <c r="B3" s="131" t="s">
        <v>109</v>
      </c>
      <c r="C3" s="129" t="s">
        <v>209</v>
      </c>
      <c r="D3" s="140" t="s">
        <v>210</v>
      </c>
      <c r="E3" s="116" t="s">
        <v>152</v>
      </c>
      <c r="F3" s="132">
        <v>45672.0</v>
      </c>
      <c r="G3" s="134"/>
      <c r="H3" s="135" t="s">
        <v>198</v>
      </c>
      <c r="I3" s="141" t="s">
        <v>199</v>
      </c>
      <c r="J3" s="142"/>
      <c r="K3" s="104"/>
      <c r="L3" s="143"/>
      <c r="M3" s="79"/>
      <c r="N3" s="138"/>
      <c r="O3" s="79"/>
      <c r="P3" s="104"/>
      <c r="Q3" s="104"/>
      <c r="R3" s="104"/>
      <c r="S3" s="104"/>
      <c r="T3" s="104"/>
      <c r="U3" s="104"/>
      <c r="V3" s="104"/>
      <c r="W3" s="104"/>
      <c r="X3" s="104"/>
      <c r="Y3" s="104"/>
      <c r="Z3" s="76"/>
    </row>
    <row r="4" ht="72.0" customHeight="1">
      <c r="A4" s="139" t="s">
        <v>219</v>
      </c>
      <c r="B4" s="131" t="s">
        <v>116</v>
      </c>
      <c r="C4" s="129" t="s">
        <v>221</v>
      </c>
      <c r="D4" s="140" t="s">
        <v>210</v>
      </c>
      <c r="E4" s="116" t="s">
        <v>152</v>
      </c>
      <c r="F4" s="132">
        <v>45672.0</v>
      </c>
      <c r="G4" s="137"/>
      <c r="H4" s="135" t="s">
        <v>198</v>
      </c>
      <c r="I4" s="141" t="s">
        <v>227</v>
      </c>
      <c r="J4" s="144"/>
      <c r="K4" s="104"/>
      <c r="L4" s="104"/>
      <c r="M4" s="79"/>
      <c r="N4" s="138"/>
      <c r="O4" s="79"/>
      <c r="P4" s="104"/>
      <c r="Q4" s="104"/>
      <c r="R4" s="104"/>
      <c r="S4" s="104"/>
      <c r="T4" s="104"/>
      <c r="U4" s="104"/>
      <c r="V4" s="104"/>
      <c r="W4" s="104"/>
      <c r="X4" s="104"/>
      <c r="Y4" s="104"/>
      <c r="Z4" s="76"/>
    </row>
    <row r="5" ht="78.75" customHeight="1">
      <c r="A5" s="139" t="s">
        <v>233</v>
      </c>
      <c r="B5" s="131" t="s">
        <v>116</v>
      </c>
      <c r="C5" s="129" t="s">
        <v>236</v>
      </c>
      <c r="D5" s="140" t="s">
        <v>193</v>
      </c>
      <c r="E5" s="116" t="s">
        <v>152</v>
      </c>
      <c r="F5" s="132">
        <v>45672.0</v>
      </c>
      <c r="G5" s="137"/>
      <c r="H5" s="135" t="s">
        <v>198</v>
      </c>
      <c r="I5" s="136" t="s">
        <v>227</v>
      </c>
      <c r="J5" s="146"/>
      <c r="K5" s="104"/>
      <c r="L5" s="104"/>
      <c r="M5" s="79"/>
      <c r="N5" s="138"/>
      <c r="O5" s="79"/>
      <c r="P5" s="104"/>
      <c r="Q5" s="104"/>
      <c r="R5" s="104"/>
      <c r="S5" s="104"/>
      <c r="T5" s="104"/>
      <c r="U5" s="104"/>
      <c r="V5" s="104"/>
      <c r="W5" s="104"/>
      <c r="X5" s="104"/>
      <c r="Y5" s="104"/>
      <c r="Z5" s="76"/>
    </row>
    <row r="6" ht="69.75" customHeight="1">
      <c r="A6" s="139" t="s">
        <v>244</v>
      </c>
      <c r="B6" s="131" t="s">
        <v>116</v>
      </c>
      <c r="C6" s="129" t="s">
        <v>245</v>
      </c>
      <c r="D6" s="140" t="s">
        <v>246</v>
      </c>
      <c r="E6" s="116" t="s">
        <v>152</v>
      </c>
      <c r="F6" s="132">
        <v>45672.0</v>
      </c>
      <c r="G6" s="137"/>
      <c r="H6" s="135" t="s">
        <v>198</v>
      </c>
      <c r="I6" s="136" t="s">
        <v>199</v>
      </c>
      <c r="J6" s="137"/>
      <c r="K6" s="104"/>
      <c r="L6" s="104"/>
      <c r="M6" s="79"/>
      <c r="N6" s="138"/>
      <c r="O6" s="79"/>
      <c r="P6" s="104"/>
      <c r="Q6" s="104"/>
      <c r="R6" s="104"/>
      <c r="S6" s="104"/>
      <c r="T6" s="104"/>
      <c r="U6" s="104"/>
      <c r="V6" s="104"/>
      <c r="W6" s="104"/>
      <c r="X6" s="104"/>
      <c r="Y6" s="104"/>
      <c r="Z6" s="76"/>
    </row>
    <row r="7" ht="77.25" customHeight="1">
      <c r="A7" s="139" t="s">
        <v>251</v>
      </c>
      <c r="B7" s="131" t="s">
        <v>116</v>
      </c>
      <c r="C7" s="129" t="s">
        <v>252</v>
      </c>
      <c r="D7" s="140" t="s">
        <v>246</v>
      </c>
      <c r="E7" s="116" t="s">
        <v>152</v>
      </c>
      <c r="F7" s="132">
        <v>45672.0</v>
      </c>
      <c r="G7" s="137"/>
      <c r="H7" s="135" t="s">
        <v>198</v>
      </c>
      <c r="I7" s="136" t="s">
        <v>199</v>
      </c>
      <c r="J7" s="137"/>
      <c r="K7" s="104"/>
      <c r="L7" s="104"/>
      <c r="M7" s="79"/>
      <c r="N7" s="138"/>
      <c r="O7" s="79"/>
      <c r="P7" s="104"/>
      <c r="Q7" s="104"/>
      <c r="R7" s="104"/>
      <c r="S7" s="104"/>
      <c r="T7" s="104"/>
      <c r="U7" s="104"/>
      <c r="V7" s="104"/>
      <c r="W7" s="104"/>
      <c r="X7" s="104"/>
      <c r="Y7" s="104"/>
      <c r="Z7" s="76"/>
    </row>
    <row r="8" ht="68.25" customHeight="1">
      <c r="A8" s="139" t="s">
        <v>259</v>
      </c>
      <c r="B8" s="131" t="s">
        <v>123</v>
      </c>
      <c r="C8" s="144" t="s">
        <v>261</v>
      </c>
      <c r="D8" s="140" t="s">
        <v>210</v>
      </c>
      <c r="E8" s="116" t="s">
        <v>152</v>
      </c>
      <c r="F8" s="132">
        <v>45672.0</v>
      </c>
      <c r="G8" s="142"/>
      <c r="H8" s="135" t="s">
        <v>198</v>
      </c>
      <c r="I8" s="136" t="s">
        <v>199</v>
      </c>
      <c r="J8" s="158"/>
      <c r="K8" s="104"/>
      <c r="L8" s="104"/>
      <c r="M8" s="79"/>
      <c r="N8" s="138"/>
      <c r="O8" s="79"/>
      <c r="P8" s="104"/>
      <c r="Q8" s="104"/>
      <c r="R8" s="104"/>
      <c r="S8" s="104"/>
      <c r="T8" s="104"/>
      <c r="U8" s="104"/>
      <c r="V8" s="104"/>
      <c r="W8" s="104"/>
      <c r="X8" s="104"/>
      <c r="Y8" s="104"/>
      <c r="Z8" s="76"/>
    </row>
    <row r="9" ht="76.5" customHeight="1">
      <c r="A9" s="139" t="s">
        <v>268</v>
      </c>
      <c r="B9" s="131" t="s">
        <v>123</v>
      </c>
      <c r="C9" s="159" t="s">
        <v>269</v>
      </c>
      <c r="D9" s="140" t="s">
        <v>210</v>
      </c>
      <c r="E9" s="116" t="s">
        <v>152</v>
      </c>
      <c r="F9" s="132">
        <v>45672.0</v>
      </c>
      <c r="G9" s="142"/>
      <c r="H9" s="135" t="s">
        <v>198</v>
      </c>
      <c r="I9" s="136" t="s">
        <v>199</v>
      </c>
      <c r="J9" s="164"/>
      <c r="K9" s="104"/>
      <c r="L9" s="165"/>
      <c r="M9" s="79"/>
      <c r="N9" s="138"/>
      <c r="O9" s="79"/>
      <c r="P9" s="104"/>
      <c r="Q9" s="104"/>
      <c r="R9" s="104"/>
      <c r="S9" s="104"/>
      <c r="T9" s="104"/>
      <c r="U9" s="104"/>
      <c r="V9" s="104"/>
      <c r="W9" s="104"/>
      <c r="X9" s="104"/>
      <c r="Y9" s="104"/>
      <c r="Z9" s="76"/>
    </row>
    <row r="10" ht="91.5" customHeight="1">
      <c r="A10" s="139" t="s">
        <v>282</v>
      </c>
      <c r="B10" s="131" t="s">
        <v>123</v>
      </c>
      <c r="C10" s="144" t="s">
        <v>284</v>
      </c>
      <c r="D10" s="140" t="s">
        <v>193</v>
      </c>
      <c r="E10" s="116" t="s">
        <v>152</v>
      </c>
      <c r="F10" s="132">
        <v>45672.0</v>
      </c>
      <c r="G10" s="137"/>
      <c r="H10" s="135" t="s">
        <v>198</v>
      </c>
      <c r="I10" s="136" t="s">
        <v>227</v>
      </c>
      <c r="J10" s="146"/>
      <c r="K10" s="104"/>
      <c r="L10" s="104"/>
      <c r="M10" s="79"/>
      <c r="N10" s="138"/>
      <c r="O10" s="79"/>
      <c r="P10" s="104"/>
      <c r="Q10" s="104"/>
      <c r="R10" s="104"/>
      <c r="S10" s="104"/>
      <c r="T10" s="104"/>
      <c r="U10" s="104"/>
      <c r="V10" s="104"/>
      <c r="W10" s="104"/>
      <c r="X10" s="104"/>
      <c r="Y10" s="104"/>
      <c r="Z10" s="76"/>
    </row>
    <row r="11" ht="55.5" customHeight="1">
      <c r="A11" s="139" t="s">
        <v>297</v>
      </c>
      <c r="B11" s="131" t="s">
        <v>109</v>
      </c>
      <c r="C11" s="129" t="s">
        <v>298</v>
      </c>
      <c r="D11" s="140" t="s">
        <v>210</v>
      </c>
      <c r="E11" s="116" t="s">
        <v>152</v>
      </c>
      <c r="F11" s="132">
        <v>45672.0</v>
      </c>
      <c r="G11" s="142"/>
      <c r="H11" s="135" t="s">
        <v>198</v>
      </c>
      <c r="I11" s="144"/>
      <c r="J11" s="142"/>
      <c r="K11" s="104"/>
      <c r="L11" s="104"/>
      <c r="M11" s="79"/>
      <c r="N11" s="138"/>
      <c r="O11" s="79"/>
      <c r="P11" s="104"/>
      <c r="Q11" s="104"/>
      <c r="R11" s="104"/>
      <c r="S11" s="104"/>
      <c r="T11" s="104"/>
      <c r="U11" s="104"/>
      <c r="V11" s="104"/>
      <c r="W11" s="104"/>
      <c r="X11" s="104"/>
      <c r="Y11" s="104"/>
      <c r="Z11" s="76"/>
    </row>
    <row r="12" ht="60.75" customHeight="1">
      <c r="A12" s="139" t="s">
        <v>302</v>
      </c>
      <c r="B12" s="131" t="s">
        <v>109</v>
      </c>
      <c r="C12" s="144" t="s">
        <v>304</v>
      </c>
      <c r="D12" s="140" t="s">
        <v>246</v>
      </c>
      <c r="E12" s="116" t="s">
        <v>152</v>
      </c>
      <c r="F12" s="132">
        <v>45672.0</v>
      </c>
      <c r="G12" s="137"/>
      <c r="H12" s="135" t="s">
        <v>198</v>
      </c>
      <c r="I12" s="136" t="s">
        <v>199</v>
      </c>
      <c r="J12" s="144"/>
      <c r="K12" s="104"/>
      <c r="L12" s="104"/>
      <c r="M12" s="79"/>
      <c r="N12" s="138"/>
      <c r="O12" s="79"/>
      <c r="P12" s="104"/>
      <c r="Q12" s="104"/>
      <c r="R12" s="104"/>
      <c r="S12" s="104"/>
      <c r="T12" s="104"/>
      <c r="U12" s="104"/>
      <c r="V12" s="104"/>
      <c r="W12" s="104"/>
      <c r="X12" s="104"/>
      <c r="Y12" s="104"/>
      <c r="Z12" s="76"/>
    </row>
    <row r="13" ht="47.25" customHeight="1">
      <c r="A13" s="139" t="s">
        <v>308</v>
      </c>
      <c r="B13" s="131" t="s">
        <v>85</v>
      </c>
      <c r="C13" s="129" t="s">
        <v>310</v>
      </c>
      <c r="D13" s="140" t="s">
        <v>246</v>
      </c>
      <c r="E13" s="116" t="s">
        <v>152</v>
      </c>
      <c r="F13" s="132">
        <v>45672.0</v>
      </c>
      <c r="G13" s="137"/>
      <c r="H13" s="135" t="s">
        <v>198</v>
      </c>
      <c r="I13" s="136" t="s">
        <v>199</v>
      </c>
      <c r="J13" s="137"/>
      <c r="K13" s="104"/>
      <c r="L13" s="104"/>
      <c r="M13" s="79"/>
      <c r="N13" s="138"/>
      <c r="O13" s="79"/>
      <c r="P13" s="104"/>
      <c r="Q13" s="104"/>
      <c r="R13" s="104"/>
      <c r="S13" s="104"/>
      <c r="T13" s="104"/>
      <c r="U13" s="104"/>
      <c r="V13" s="104"/>
      <c r="W13" s="104"/>
      <c r="X13" s="104"/>
      <c r="Y13" s="104"/>
      <c r="Z13" s="76"/>
    </row>
    <row r="14" ht="71.25" customHeight="1">
      <c r="A14" s="139" t="s">
        <v>319</v>
      </c>
      <c r="B14" s="131" t="s">
        <v>123</v>
      </c>
      <c r="C14" s="174" t="s">
        <v>322</v>
      </c>
      <c r="D14" s="140" t="s">
        <v>246</v>
      </c>
      <c r="E14" s="116" t="s">
        <v>152</v>
      </c>
      <c r="F14" s="132">
        <v>45672.0</v>
      </c>
      <c r="G14" s="142"/>
      <c r="H14" s="135" t="s">
        <v>198</v>
      </c>
      <c r="I14" s="136" t="s">
        <v>199</v>
      </c>
      <c r="J14" s="144"/>
      <c r="K14" s="104"/>
      <c r="L14" s="104"/>
      <c r="M14" s="79"/>
      <c r="N14" s="138"/>
      <c r="O14" s="79"/>
      <c r="P14" s="104"/>
      <c r="Q14" s="104"/>
      <c r="R14" s="104"/>
      <c r="S14" s="104"/>
      <c r="T14" s="104"/>
      <c r="U14" s="104"/>
      <c r="V14" s="104"/>
      <c r="W14" s="104"/>
      <c r="X14" s="104"/>
      <c r="Y14" s="104"/>
      <c r="Z14" s="76"/>
    </row>
    <row r="15" ht="122.25" customHeight="1">
      <c r="A15" s="139" t="s">
        <v>329</v>
      </c>
      <c r="B15" s="131" t="s">
        <v>123</v>
      </c>
      <c r="C15" s="129" t="s">
        <v>330</v>
      </c>
      <c r="D15" s="140" t="s">
        <v>246</v>
      </c>
      <c r="E15" s="116" t="s">
        <v>152</v>
      </c>
      <c r="F15" s="132">
        <v>45672.0</v>
      </c>
      <c r="G15" s="142"/>
      <c r="H15" s="135" t="s">
        <v>198</v>
      </c>
      <c r="I15" s="175"/>
      <c r="J15" s="142"/>
      <c r="K15" s="104"/>
      <c r="L15" s="104"/>
      <c r="M15" s="79"/>
      <c r="N15" s="138"/>
      <c r="O15" s="79"/>
      <c r="P15" s="104"/>
      <c r="Q15" s="104"/>
      <c r="R15" s="104"/>
      <c r="S15" s="104"/>
      <c r="T15" s="104"/>
      <c r="U15" s="104"/>
      <c r="V15" s="104"/>
      <c r="W15" s="104"/>
      <c r="X15" s="104"/>
      <c r="Y15" s="104"/>
      <c r="Z15" s="76"/>
    </row>
    <row r="16" ht="56.25" customHeight="1">
      <c r="A16" s="139" t="s">
        <v>335</v>
      </c>
      <c r="B16" s="131" t="s">
        <v>123</v>
      </c>
      <c r="C16" s="176" t="s">
        <v>338</v>
      </c>
      <c r="D16" s="140" t="s">
        <v>246</v>
      </c>
      <c r="E16" s="116" t="s">
        <v>152</v>
      </c>
      <c r="F16" s="132">
        <v>45672.0</v>
      </c>
      <c r="G16" s="137"/>
      <c r="H16" s="135" t="s">
        <v>198</v>
      </c>
      <c r="I16" s="144"/>
      <c r="J16" s="144"/>
      <c r="K16" s="104"/>
      <c r="L16" s="104"/>
      <c r="M16" s="79"/>
      <c r="N16" s="138"/>
      <c r="O16" s="79"/>
      <c r="P16" s="104"/>
      <c r="Q16" s="104"/>
      <c r="R16" s="104"/>
      <c r="S16" s="104"/>
      <c r="T16" s="104"/>
      <c r="U16" s="104"/>
      <c r="V16" s="104"/>
      <c r="W16" s="104"/>
      <c r="X16" s="104"/>
      <c r="Y16" s="104"/>
      <c r="Z16" s="76"/>
    </row>
    <row r="17" ht="84.0" customHeight="1">
      <c r="A17" s="139" t="s">
        <v>342</v>
      </c>
      <c r="B17" s="131" t="s">
        <v>49</v>
      </c>
      <c r="C17" s="144" t="s">
        <v>344</v>
      </c>
      <c r="D17" s="140" t="s">
        <v>315</v>
      </c>
      <c r="E17" s="116" t="s">
        <v>152</v>
      </c>
      <c r="F17" s="132">
        <v>45672.0</v>
      </c>
      <c r="G17" s="142"/>
      <c r="H17" s="135" t="s">
        <v>198</v>
      </c>
      <c r="I17" s="144"/>
      <c r="J17" s="144"/>
      <c r="K17" s="104"/>
      <c r="L17" s="104"/>
      <c r="M17" s="79"/>
      <c r="N17" s="138"/>
      <c r="O17" s="79"/>
      <c r="P17" s="104"/>
      <c r="Q17" s="104"/>
      <c r="R17" s="104"/>
      <c r="S17" s="104"/>
      <c r="T17" s="104"/>
      <c r="U17" s="104"/>
      <c r="V17" s="104"/>
      <c r="W17" s="104"/>
      <c r="X17" s="104"/>
      <c r="Y17" s="104"/>
      <c r="Z17" s="76"/>
    </row>
    <row r="18" ht="59.25" customHeight="1">
      <c r="A18" s="139" t="s">
        <v>349</v>
      </c>
      <c r="B18" s="178" t="s">
        <v>49</v>
      </c>
      <c r="C18" s="158" t="s">
        <v>350</v>
      </c>
      <c r="D18" s="178" t="s">
        <v>315</v>
      </c>
      <c r="E18" s="116" t="s">
        <v>152</v>
      </c>
      <c r="F18" s="132">
        <v>45672.0</v>
      </c>
      <c r="G18" s="179"/>
      <c r="H18" s="135" t="s">
        <v>198</v>
      </c>
      <c r="I18" s="144"/>
      <c r="J18" s="179"/>
      <c r="K18" s="104"/>
      <c r="L18" s="104"/>
      <c r="M18" s="79"/>
      <c r="N18" s="138"/>
      <c r="O18" s="79"/>
      <c r="P18" s="104"/>
      <c r="Q18" s="104"/>
      <c r="R18" s="104"/>
      <c r="S18" s="104"/>
      <c r="T18" s="104"/>
      <c r="U18" s="104"/>
      <c r="V18" s="104"/>
      <c r="W18" s="104"/>
      <c r="X18" s="104"/>
      <c r="Y18" s="104"/>
      <c r="Z18" s="76"/>
    </row>
    <row r="19" ht="52.5" customHeight="1">
      <c r="A19" s="139" t="s">
        <v>353</v>
      </c>
      <c r="B19" s="178" t="s">
        <v>49</v>
      </c>
      <c r="C19" s="180" t="s">
        <v>357</v>
      </c>
      <c r="D19" s="178" t="s">
        <v>315</v>
      </c>
      <c r="E19" s="116" t="s">
        <v>152</v>
      </c>
      <c r="F19" s="132">
        <v>45672.0</v>
      </c>
      <c r="G19" s="181"/>
      <c r="H19" s="135" t="s">
        <v>198</v>
      </c>
      <c r="I19" s="182"/>
      <c r="J19" s="181"/>
      <c r="K19" s="104"/>
      <c r="L19" s="104"/>
      <c r="M19" s="104"/>
      <c r="N19" s="104"/>
      <c r="O19" s="104"/>
      <c r="P19" s="104"/>
      <c r="Q19" s="104"/>
      <c r="R19" s="104"/>
      <c r="S19" s="104"/>
      <c r="T19" s="104"/>
      <c r="U19" s="104"/>
      <c r="V19" s="104"/>
      <c r="W19" s="104"/>
      <c r="X19" s="104"/>
      <c r="Y19" s="104"/>
      <c r="Z19" s="76"/>
    </row>
    <row r="20" ht="120.75" customHeight="1">
      <c r="A20" s="139" t="s">
        <v>362</v>
      </c>
      <c r="B20" s="178" t="s">
        <v>49</v>
      </c>
      <c r="C20" s="180" t="s">
        <v>365</v>
      </c>
      <c r="D20" s="178" t="s">
        <v>366</v>
      </c>
      <c r="E20" s="116" t="s">
        <v>152</v>
      </c>
      <c r="F20" s="132">
        <v>45672.0</v>
      </c>
      <c r="G20" s="181"/>
      <c r="H20" s="135" t="s">
        <v>198</v>
      </c>
      <c r="I20" s="182"/>
      <c r="J20" s="181"/>
      <c r="K20" s="104"/>
      <c r="L20" s="104"/>
      <c r="M20" s="104"/>
      <c r="N20" s="104"/>
      <c r="O20" s="104"/>
      <c r="P20" s="104"/>
      <c r="Q20" s="104"/>
      <c r="R20" s="104"/>
      <c r="S20" s="104"/>
      <c r="T20" s="104"/>
      <c r="U20" s="104"/>
      <c r="V20" s="104"/>
      <c r="W20" s="104"/>
      <c r="X20" s="104"/>
      <c r="Y20" s="104"/>
      <c r="Z20" s="76"/>
    </row>
    <row r="21" ht="98.25" customHeight="1">
      <c r="A21" s="139" t="s">
        <v>374</v>
      </c>
      <c r="B21" s="178" t="s">
        <v>101</v>
      </c>
      <c r="C21" s="180" t="s">
        <v>376</v>
      </c>
      <c r="D21" s="178" t="s">
        <v>246</v>
      </c>
      <c r="E21" s="116" t="s">
        <v>152</v>
      </c>
      <c r="F21" s="132">
        <v>45672.0</v>
      </c>
      <c r="G21" s="181"/>
      <c r="H21" s="135" t="s">
        <v>198</v>
      </c>
      <c r="I21" s="136" t="s">
        <v>227</v>
      </c>
      <c r="J21" s="181"/>
      <c r="K21" s="104"/>
      <c r="L21" s="104"/>
      <c r="M21" s="104"/>
      <c r="N21" s="104"/>
      <c r="O21" s="104"/>
      <c r="P21" s="104"/>
      <c r="Q21" s="104"/>
      <c r="R21" s="104"/>
      <c r="S21" s="104"/>
      <c r="T21" s="104"/>
      <c r="U21" s="104"/>
      <c r="V21" s="104"/>
      <c r="W21" s="104"/>
      <c r="X21" s="104"/>
      <c r="Y21" s="104"/>
      <c r="Z21" s="76"/>
    </row>
    <row r="22" ht="15.75" customHeight="1">
      <c r="A22" s="104"/>
      <c r="B22" s="104"/>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76"/>
    </row>
    <row r="23" ht="15.75" customHeight="1">
      <c r="A23" s="104"/>
      <c r="B23" s="104"/>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76"/>
    </row>
    <row r="24" ht="15.75" customHeight="1">
      <c r="A24" s="104"/>
      <c r="B24" s="104"/>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76"/>
    </row>
    <row r="25" ht="15.75" customHeight="1">
      <c r="A25" s="104"/>
      <c r="B25" s="104"/>
      <c r="C25" s="104"/>
      <c r="D25" s="104"/>
      <c r="E25" s="104"/>
      <c r="F25" s="104"/>
      <c r="G25" s="104"/>
      <c r="H25" s="104"/>
      <c r="I25" s="104"/>
      <c r="J25" s="104"/>
      <c r="K25" s="104"/>
      <c r="L25" s="104"/>
      <c r="M25" s="104"/>
      <c r="N25" s="104"/>
      <c r="O25" s="104"/>
      <c r="P25" s="104"/>
      <c r="Q25" s="104"/>
      <c r="R25" s="104"/>
      <c r="S25" s="104"/>
      <c r="T25" s="104"/>
      <c r="U25" s="104"/>
      <c r="V25" s="104"/>
      <c r="W25" s="104"/>
      <c r="X25" s="104"/>
      <c r="Y25" s="104"/>
      <c r="Z25" s="76"/>
    </row>
    <row r="26" ht="15.75" customHeight="1">
      <c r="A26" s="104"/>
      <c r="B26" s="104"/>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76"/>
    </row>
    <row r="27" ht="15.75" customHeight="1">
      <c r="A27" s="104"/>
      <c r="B27" s="104"/>
      <c r="C27" s="104"/>
      <c r="D27" s="104"/>
      <c r="E27" s="104"/>
      <c r="F27" s="104"/>
      <c r="G27" s="104"/>
      <c r="H27" s="104"/>
      <c r="I27" s="104"/>
      <c r="J27" s="104"/>
      <c r="K27" s="104"/>
      <c r="L27" s="104"/>
      <c r="M27" s="104"/>
      <c r="N27" s="104"/>
      <c r="O27" s="104"/>
      <c r="P27" s="104"/>
      <c r="Q27" s="104"/>
      <c r="R27" s="104"/>
      <c r="S27" s="104"/>
      <c r="T27" s="104"/>
      <c r="U27" s="104"/>
      <c r="V27" s="104"/>
      <c r="W27" s="104"/>
      <c r="X27" s="104"/>
      <c r="Y27" s="104"/>
      <c r="Z27" s="76"/>
    </row>
    <row r="28" ht="15.75" customHeight="1">
      <c r="A28" s="104"/>
      <c r="B28" s="104"/>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76"/>
    </row>
    <row r="29" ht="15.75" customHeight="1">
      <c r="A29" s="104"/>
      <c r="B29" s="104"/>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76"/>
    </row>
    <row r="30" ht="15.75" customHeight="1">
      <c r="A30" s="104"/>
      <c r="B30" s="104"/>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76"/>
    </row>
    <row r="31" ht="15.75" customHeight="1">
      <c r="A31" s="104"/>
      <c r="B31" s="104"/>
      <c r="C31" s="104"/>
      <c r="D31" s="104"/>
      <c r="E31" s="104"/>
      <c r="F31" s="104"/>
      <c r="G31" s="104"/>
      <c r="H31" s="104"/>
      <c r="I31" s="104"/>
      <c r="J31" s="104"/>
      <c r="K31" s="104"/>
      <c r="L31" s="104"/>
      <c r="M31" s="104"/>
      <c r="N31" s="104"/>
      <c r="O31" s="104"/>
      <c r="P31" s="104"/>
      <c r="Q31" s="104"/>
      <c r="R31" s="104"/>
      <c r="S31" s="104"/>
      <c r="T31" s="104"/>
      <c r="U31" s="104"/>
      <c r="V31" s="104"/>
      <c r="W31" s="104"/>
      <c r="X31" s="104"/>
      <c r="Y31" s="104"/>
      <c r="Z31" s="76"/>
    </row>
    <row r="32" ht="15.75" customHeight="1">
      <c r="A32" s="104"/>
      <c r="B32" s="104"/>
      <c r="C32" s="104"/>
      <c r="D32" s="104"/>
      <c r="E32" s="104"/>
      <c r="F32" s="104"/>
      <c r="G32" s="104"/>
      <c r="H32" s="104"/>
      <c r="I32" s="104"/>
      <c r="J32" s="104"/>
      <c r="K32" s="104"/>
      <c r="L32" s="104"/>
      <c r="M32" s="104"/>
      <c r="N32" s="104"/>
      <c r="O32" s="104"/>
      <c r="P32" s="104"/>
      <c r="Q32" s="104"/>
      <c r="R32" s="104"/>
      <c r="S32" s="104"/>
      <c r="T32" s="104"/>
      <c r="U32" s="104"/>
      <c r="V32" s="104"/>
      <c r="W32" s="104"/>
      <c r="X32" s="104"/>
      <c r="Y32" s="104"/>
      <c r="Z32" s="76"/>
    </row>
    <row r="33" ht="15.75" customHeight="1">
      <c r="A33" s="104"/>
      <c r="B33" s="104"/>
      <c r="C33" s="104"/>
      <c r="D33" s="104"/>
      <c r="E33" s="104"/>
      <c r="F33" s="104"/>
      <c r="G33" s="104"/>
      <c r="H33" s="104"/>
      <c r="I33" s="104"/>
      <c r="J33" s="104"/>
      <c r="K33" s="104"/>
      <c r="L33" s="104"/>
      <c r="M33" s="104"/>
      <c r="N33" s="104"/>
      <c r="O33" s="104"/>
      <c r="P33" s="104"/>
      <c r="Q33" s="104"/>
      <c r="R33" s="104"/>
      <c r="S33" s="104"/>
      <c r="T33" s="104"/>
      <c r="U33" s="104"/>
      <c r="V33" s="104"/>
      <c r="W33" s="104"/>
      <c r="X33" s="104"/>
      <c r="Y33" s="104"/>
      <c r="Z33" s="76"/>
    </row>
    <row r="34" ht="15.75" customHeight="1">
      <c r="A34" s="104"/>
      <c r="B34" s="104"/>
      <c r="C34" s="104"/>
      <c r="D34" s="104"/>
      <c r="E34" s="104"/>
      <c r="F34" s="104"/>
      <c r="G34" s="104"/>
      <c r="H34" s="104"/>
      <c r="I34" s="104"/>
      <c r="J34" s="104"/>
      <c r="K34" s="104"/>
      <c r="L34" s="104"/>
      <c r="M34" s="104"/>
      <c r="N34" s="104"/>
      <c r="O34" s="104"/>
      <c r="P34" s="104"/>
      <c r="Q34" s="104"/>
      <c r="R34" s="104"/>
      <c r="S34" s="104"/>
      <c r="T34" s="104"/>
      <c r="U34" s="104"/>
      <c r="V34" s="104"/>
      <c r="W34" s="104"/>
      <c r="X34" s="104"/>
      <c r="Y34" s="104"/>
      <c r="Z34" s="76"/>
    </row>
    <row r="35" ht="15.75" customHeight="1">
      <c r="A35" s="104"/>
      <c r="B35" s="104"/>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76"/>
    </row>
    <row r="36" ht="15.75" customHeight="1">
      <c r="A36" s="104"/>
      <c r="B36" s="104"/>
      <c r="C36" s="104"/>
      <c r="D36" s="104"/>
      <c r="E36" s="104"/>
      <c r="F36" s="104"/>
      <c r="G36" s="104"/>
      <c r="H36" s="104"/>
      <c r="I36" s="104"/>
      <c r="J36" s="104"/>
      <c r="K36" s="104"/>
      <c r="L36" s="104"/>
      <c r="M36" s="104"/>
      <c r="N36" s="104"/>
      <c r="O36" s="104"/>
      <c r="P36" s="104"/>
      <c r="Q36" s="104"/>
      <c r="R36" s="104"/>
      <c r="S36" s="104"/>
      <c r="T36" s="104"/>
      <c r="U36" s="104"/>
      <c r="V36" s="104"/>
      <c r="W36" s="104"/>
      <c r="X36" s="104"/>
      <c r="Y36" s="104"/>
      <c r="Z36" s="76"/>
    </row>
    <row r="37" ht="15.75" customHeight="1">
      <c r="A37" s="104"/>
      <c r="B37" s="104"/>
      <c r="C37" s="104"/>
      <c r="D37" s="104"/>
      <c r="E37" s="104"/>
      <c r="F37" s="104"/>
      <c r="G37" s="104"/>
      <c r="H37" s="104"/>
      <c r="I37" s="104"/>
      <c r="J37" s="104"/>
      <c r="K37" s="104"/>
      <c r="L37" s="104"/>
      <c r="M37" s="104"/>
      <c r="N37" s="104"/>
      <c r="O37" s="104"/>
      <c r="P37" s="104"/>
      <c r="Q37" s="104"/>
      <c r="R37" s="104"/>
      <c r="S37" s="104"/>
      <c r="T37" s="104"/>
      <c r="U37" s="104"/>
      <c r="V37" s="104"/>
      <c r="W37" s="104"/>
      <c r="X37" s="104"/>
      <c r="Y37" s="104"/>
      <c r="Z37" s="76"/>
    </row>
    <row r="38" ht="15.75" customHeight="1">
      <c r="A38" s="104"/>
      <c r="B38" s="104"/>
      <c r="C38" s="104"/>
      <c r="D38" s="104"/>
      <c r="E38" s="104"/>
      <c r="F38" s="104"/>
      <c r="G38" s="104"/>
      <c r="H38" s="104"/>
      <c r="I38" s="104"/>
      <c r="J38" s="104"/>
      <c r="K38" s="104"/>
      <c r="L38" s="104"/>
      <c r="M38" s="104"/>
      <c r="N38" s="104"/>
      <c r="O38" s="104"/>
      <c r="P38" s="104"/>
      <c r="Q38" s="104"/>
      <c r="R38" s="104"/>
      <c r="S38" s="104"/>
      <c r="T38" s="104"/>
      <c r="U38" s="104"/>
      <c r="V38" s="104"/>
      <c r="W38" s="104"/>
      <c r="X38" s="104"/>
      <c r="Y38" s="104"/>
      <c r="Z38" s="76"/>
    </row>
    <row r="39" ht="15.75" customHeight="1">
      <c r="A39" s="104"/>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76"/>
    </row>
    <row r="40" ht="15.75" customHeight="1">
      <c r="A40" s="104"/>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76"/>
    </row>
    <row r="41" ht="15.75" customHeight="1">
      <c r="A41" s="104"/>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76"/>
    </row>
    <row r="42" ht="15.75" customHeight="1">
      <c r="A42" s="104"/>
      <c r="B42" s="104"/>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76"/>
    </row>
    <row r="43" ht="15.75" customHeight="1">
      <c r="A43" s="104"/>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76"/>
    </row>
    <row r="44" ht="15.75" customHeight="1">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76"/>
    </row>
    <row r="45" ht="15.75" customHeight="1">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76"/>
    </row>
    <row r="46" ht="15.75" customHeight="1">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76"/>
    </row>
    <row r="47" ht="15.75" customHeight="1">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76"/>
    </row>
    <row r="48" ht="15.75" customHeight="1">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76"/>
    </row>
    <row r="49" ht="15.75" customHeight="1">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76"/>
    </row>
    <row r="50" ht="15.75" customHeight="1">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76"/>
    </row>
    <row r="51" ht="15.75" customHeight="1">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76"/>
    </row>
    <row r="52" ht="15.75" customHeight="1">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76"/>
    </row>
    <row r="53" ht="15.75" customHeight="1">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76"/>
    </row>
    <row r="54" ht="15.75" customHeight="1">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76"/>
    </row>
    <row r="55" ht="15.75" customHeight="1">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76"/>
    </row>
    <row r="56" ht="15.75" customHeight="1">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76"/>
    </row>
    <row r="57" ht="15.75" customHeight="1">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76"/>
    </row>
    <row r="58" ht="15.75" customHeight="1">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76"/>
    </row>
    <row r="59" ht="15.75" customHeight="1">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76"/>
    </row>
    <row r="60" ht="15.75" customHeight="1">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76"/>
    </row>
    <row r="61" ht="15.75" customHeight="1">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76"/>
    </row>
    <row r="62" ht="15.75" customHeight="1">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76"/>
    </row>
    <row r="63" ht="15.75" customHeight="1">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76"/>
    </row>
    <row r="64" ht="15.75" customHeight="1">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76"/>
    </row>
    <row r="65" ht="15.75" customHeight="1">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76"/>
    </row>
    <row r="66" ht="15.75" customHeight="1">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76"/>
    </row>
    <row r="67" ht="15.75" customHeight="1">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76"/>
    </row>
    <row r="68" ht="15.75" customHeight="1">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76"/>
    </row>
    <row r="69" ht="15.75" customHeight="1">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76"/>
    </row>
    <row r="70" ht="15.75" customHeight="1">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76"/>
    </row>
    <row r="71" ht="15.75" customHeight="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76"/>
    </row>
    <row r="72" ht="15.75" customHeight="1">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76"/>
    </row>
    <row r="73" ht="15.75" customHeight="1">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76"/>
    </row>
    <row r="74" ht="15.75" customHeight="1">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76"/>
    </row>
    <row r="75" ht="15.75" customHeight="1">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76"/>
    </row>
    <row r="76" ht="15.75" customHeight="1">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76"/>
    </row>
    <row r="77" ht="15.75" customHeight="1">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76"/>
    </row>
    <row r="78" ht="15.75" customHeight="1">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76"/>
    </row>
    <row r="79" ht="15.75" customHeight="1">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76"/>
    </row>
    <row r="80" ht="15.75" customHeight="1">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76"/>
    </row>
    <row r="81" ht="15.75" customHeight="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76"/>
    </row>
    <row r="82" ht="15.75" customHeight="1">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76"/>
    </row>
    <row r="83" ht="15.75" customHeight="1">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76"/>
    </row>
    <row r="84" ht="15.75" customHeight="1">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76"/>
    </row>
    <row r="85" ht="15.75" customHeight="1">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76"/>
    </row>
    <row r="86" ht="15.75" customHeight="1">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76"/>
    </row>
    <row r="87" ht="15.75" customHeight="1">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76"/>
    </row>
    <row r="88" ht="15.75" customHeight="1">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76"/>
    </row>
    <row r="89" ht="15.75" customHeight="1">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76"/>
    </row>
    <row r="90" ht="15.75" customHeight="1">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76"/>
    </row>
    <row r="91" ht="15.75" customHeight="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76"/>
    </row>
    <row r="92" ht="15.75" customHeight="1">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76"/>
    </row>
    <row r="93" ht="15.75" customHeight="1">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76"/>
    </row>
    <row r="94" ht="15.75" customHeight="1">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76"/>
    </row>
    <row r="95" ht="15.75" customHeight="1">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76"/>
    </row>
    <row r="96" ht="15.75" customHeight="1">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76"/>
    </row>
    <row r="97" ht="15.75" customHeight="1">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76"/>
    </row>
    <row r="98" ht="15.75" customHeight="1">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76"/>
    </row>
    <row r="99" ht="15.75" customHeight="1">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76"/>
    </row>
    <row r="100" ht="15.75" customHeight="1">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76"/>
    </row>
    <row r="101" ht="15.75" customHeight="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76"/>
    </row>
    <row r="102" ht="15.75" customHeight="1">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76"/>
    </row>
    <row r="103" ht="15.75" customHeight="1">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76"/>
    </row>
    <row r="104" ht="15.75" customHeight="1">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76"/>
    </row>
    <row r="105" ht="15.75" customHeight="1">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76"/>
    </row>
    <row r="106" ht="15.75" customHeight="1">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76"/>
    </row>
    <row r="107" ht="15.75" customHeight="1">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76"/>
    </row>
    <row r="108" ht="15.75" customHeight="1">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76"/>
    </row>
    <row r="109" ht="15.75" customHeight="1">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76"/>
    </row>
    <row r="110" ht="15.75" customHeight="1">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76"/>
    </row>
    <row r="111" ht="15.75" customHeight="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76"/>
    </row>
    <row r="112" ht="15.75" customHeight="1">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76"/>
    </row>
    <row r="113" ht="15.75" customHeight="1">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76"/>
    </row>
    <row r="114" ht="15.75" customHeight="1">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76"/>
    </row>
    <row r="115" ht="15.75" customHeight="1">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76"/>
    </row>
    <row r="116" ht="15.75" customHeight="1">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76"/>
    </row>
    <row r="117" ht="15.75" customHeight="1">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76"/>
    </row>
    <row r="118" ht="15.75" customHeight="1">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76"/>
    </row>
    <row r="119" ht="15.75" customHeight="1">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76"/>
    </row>
    <row r="120" ht="15.75" customHeight="1">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76"/>
    </row>
    <row r="121" ht="15.75" customHeight="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76"/>
    </row>
    <row r="122" ht="15.75" customHeight="1">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76"/>
    </row>
    <row r="123" ht="15.75" customHeight="1">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76"/>
    </row>
    <row r="124" ht="15.75" customHeight="1">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76"/>
    </row>
    <row r="125" ht="15.75" customHeight="1">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76"/>
    </row>
    <row r="126" ht="15.75" customHeight="1">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76"/>
    </row>
    <row r="127" ht="15.75" customHeight="1">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76"/>
    </row>
    <row r="128" ht="15.75" customHeight="1">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76"/>
    </row>
    <row r="129" ht="15.75" customHeight="1">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76"/>
    </row>
    <row r="130" ht="15.75" customHeight="1">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76"/>
    </row>
    <row r="131" ht="15.75" customHeight="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76"/>
    </row>
    <row r="132" ht="15.75" customHeight="1">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76"/>
    </row>
    <row r="133" ht="15.75" customHeight="1">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76"/>
    </row>
    <row r="134" ht="15.75" customHeight="1">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76"/>
    </row>
    <row r="135" ht="15.75" customHeight="1">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76"/>
    </row>
    <row r="136" ht="15.75" customHeight="1">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76"/>
    </row>
    <row r="137" ht="15.75" customHeight="1">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76"/>
    </row>
    <row r="138" ht="15.75" customHeight="1">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76"/>
    </row>
    <row r="139" ht="15.75" customHeight="1">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76"/>
    </row>
    <row r="140" ht="15.75" customHeight="1">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76"/>
    </row>
    <row r="141" ht="15.75" customHeight="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76"/>
    </row>
    <row r="142" ht="15.75" customHeight="1">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76"/>
    </row>
    <row r="143" ht="15.75" customHeight="1">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76"/>
    </row>
    <row r="144" ht="15.75" customHeight="1">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76"/>
    </row>
    <row r="145" ht="15.75" customHeight="1">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76"/>
    </row>
    <row r="146" ht="15.75" customHeight="1">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76"/>
    </row>
    <row r="147" ht="15.75" customHeight="1">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76"/>
    </row>
    <row r="148" ht="15.75" customHeight="1">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76"/>
    </row>
    <row r="149" ht="15.75" customHeight="1">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76"/>
    </row>
    <row r="150" ht="15.75" customHeight="1">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76"/>
    </row>
    <row r="151" ht="15.75" customHeight="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76"/>
    </row>
    <row r="152" ht="15.75" customHeight="1">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76"/>
    </row>
    <row r="153" ht="15.75" customHeight="1">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76"/>
    </row>
    <row r="154" ht="15.75" customHeight="1">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76"/>
    </row>
    <row r="155" ht="15.75" customHeight="1">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76"/>
    </row>
    <row r="156" ht="15.75" customHeight="1">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76"/>
    </row>
    <row r="157" ht="15.75" customHeight="1">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76"/>
    </row>
    <row r="158" ht="15.75" customHeight="1">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76"/>
    </row>
    <row r="159" ht="15.75" customHeight="1">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76"/>
    </row>
    <row r="160" ht="15.75" customHeight="1">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76"/>
    </row>
    <row r="161" ht="15.75" customHeight="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76"/>
    </row>
    <row r="162" ht="15.75" customHeight="1">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76"/>
    </row>
    <row r="163" ht="15.75" customHeight="1">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76"/>
    </row>
    <row r="164" ht="15.75" customHeight="1">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76"/>
    </row>
    <row r="165" ht="15.75" customHeight="1">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76"/>
    </row>
    <row r="166" ht="15.75" customHeight="1">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76"/>
    </row>
    <row r="167" ht="15.75" customHeight="1">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76"/>
    </row>
    <row r="168" ht="15.75" customHeight="1">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76"/>
    </row>
    <row r="169" ht="15.75" customHeight="1">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76"/>
    </row>
    <row r="170" ht="15.75" customHeight="1">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76"/>
    </row>
    <row r="171" ht="15.75" customHeight="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76"/>
    </row>
    <row r="172" ht="15.75" customHeight="1">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76"/>
    </row>
    <row r="173" ht="15.75" customHeight="1">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76"/>
    </row>
    <row r="174" ht="15.75" customHeight="1">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76"/>
    </row>
    <row r="175" ht="15.75" customHeight="1">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76"/>
    </row>
    <row r="176" ht="15.75" customHeight="1">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76"/>
    </row>
    <row r="177" ht="15.75" customHeight="1">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76"/>
    </row>
    <row r="178" ht="15.75" customHeight="1">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76"/>
    </row>
    <row r="179" ht="15.75" customHeight="1">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76"/>
    </row>
    <row r="180" ht="15.75" customHeight="1">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76"/>
    </row>
    <row r="181" ht="15.75" customHeight="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76"/>
    </row>
    <row r="182" ht="15.75" customHeight="1">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76"/>
    </row>
    <row r="183" ht="15.75" customHeight="1">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76"/>
    </row>
    <row r="184" ht="15.75" customHeight="1">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76"/>
    </row>
    <row r="185" ht="15.75" customHeight="1">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76"/>
    </row>
    <row r="186" ht="15.75" customHeight="1">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76"/>
    </row>
    <row r="187" ht="15.75" customHeight="1">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76"/>
    </row>
    <row r="188" ht="15.75" customHeight="1">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76"/>
    </row>
    <row r="189" ht="15.75" customHeight="1">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76"/>
    </row>
    <row r="190" ht="15.75" customHeight="1">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76"/>
    </row>
    <row r="191" ht="15.75" customHeight="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76"/>
    </row>
    <row r="192" ht="15.75" customHeight="1">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76"/>
    </row>
    <row r="193" ht="15.75" customHeight="1">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76"/>
    </row>
    <row r="194" ht="15.75" customHeight="1">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76"/>
    </row>
    <row r="195" ht="15.75" customHeight="1">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76"/>
    </row>
    <row r="196" ht="15.75" customHeight="1">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76"/>
    </row>
    <row r="197" ht="15.75" customHeight="1">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76"/>
    </row>
    <row r="198" ht="15.75" customHeight="1">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76"/>
    </row>
    <row r="199" ht="15.75" customHeight="1">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76"/>
    </row>
    <row r="200" ht="15.75" customHeight="1">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76"/>
    </row>
    <row r="201" ht="15.75" customHeight="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76"/>
    </row>
    <row r="202" ht="15.75" customHeight="1">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76"/>
    </row>
    <row r="203" ht="15.75" customHeight="1">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76"/>
    </row>
    <row r="204" ht="15.75" customHeight="1">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76"/>
    </row>
    <row r="205" ht="15.75" customHeight="1">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76"/>
    </row>
    <row r="206" ht="15.75" customHeight="1">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76"/>
    </row>
    <row r="207" ht="15.75" customHeight="1">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76"/>
    </row>
    <row r="208" ht="15.75" customHeight="1">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76"/>
    </row>
    <row r="209" ht="15.75" customHeight="1">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76"/>
    </row>
    <row r="210" ht="15.75" customHeight="1">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76"/>
    </row>
    <row r="211" ht="15.75" customHeight="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76"/>
    </row>
    <row r="212" ht="15.75" customHeight="1">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76"/>
    </row>
    <row r="213" ht="15.75" customHeight="1">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76"/>
    </row>
    <row r="214" ht="15.75" customHeight="1">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76"/>
    </row>
    <row r="215" ht="15.75" customHeight="1">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76"/>
    </row>
    <row r="216" ht="15.75" customHeight="1">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76"/>
    </row>
    <row r="217" ht="15.75" customHeight="1">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76"/>
    </row>
    <row r="218" ht="15.75" customHeight="1">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76"/>
    </row>
    <row r="219" ht="15.75" customHeight="1">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76"/>
    </row>
    <row r="220" ht="15.75" customHeight="1">
      <c r="K220" s="104"/>
      <c r="L220" s="104"/>
      <c r="M220" s="104"/>
      <c r="N220" s="104"/>
      <c r="O220" s="104"/>
      <c r="P220" s="104"/>
      <c r="Q220" s="104"/>
      <c r="R220" s="104"/>
      <c r="S220" s="104"/>
      <c r="T220" s="104"/>
      <c r="U220" s="104"/>
      <c r="V220" s="104"/>
      <c r="W220" s="104"/>
      <c r="X220" s="104"/>
      <c r="Y220" s="104"/>
      <c r="Z220" s="7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E2:E21">
      <formula1>"Yessica"</formula1>
    </dataValidation>
    <dataValidation type="list" allowBlank="1" showErrorMessage="1" sqref="H2:H21">
      <formula1>"Pendiente,En curso,Entregado"</formula1>
    </dataValidation>
    <dataValidation type="custom" allowBlank="1" showDropDown="1" sqref="F2:F21">
      <formula1>OR(NOT(ISERROR(DATEVALUE(F2))), AND(ISNUMBER(F2), LEFT(CELL("format", F2))="D"))</formula1>
    </dataValidation>
    <dataValidation type="list" allowBlank="1" showErrorMessage="1" sqref="D2:D21">
      <formula1>"Media,Baja,Critica,Alta"</formula1>
    </dataValidation>
    <dataValidation type="list" allowBlank="1" sqref="B2:B21">
      <formula1>"RF1,RF2,RF3,RF4,RF5,RF6,RF7,RF8"</formula1>
    </dataValidation>
  </dataValidations>
  <hyperlinks>
    <hyperlink r:id="rId1" ref="I2"/>
    <hyperlink r:id="rId2" ref="I3"/>
    <hyperlink r:id="rId3" ref="I4"/>
    <hyperlink r:id="rId4" ref="I5"/>
    <hyperlink r:id="rId5" ref="I6"/>
    <hyperlink r:id="rId6" ref="I7"/>
    <hyperlink r:id="rId7" ref="I8"/>
    <hyperlink r:id="rId8" ref="I9"/>
    <hyperlink r:id="rId9" ref="I10"/>
    <hyperlink r:id="rId10" ref="I12"/>
    <hyperlink r:id="rId11" ref="I13"/>
    <hyperlink r:id="rId12" ref="I14"/>
    <hyperlink r:id="rId13" ref="I21"/>
  </hyperlinks>
  <printOptions/>
  <pageMargins bottom="1.0" footer="0.0" header="0.0" left="0.75" right="0.75" top="1.0"/>
  <pageSetup orientation="landscape"/>
  <drawing r:id="rId14"/>
  <tableParts count="1">
    <tablePart r:id="rId16"/>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75"/>
    <col customWidth="1" min="2" max="2" width="10.5"/>
    <col customWidth="1" min="3" max="3" width="18.75"/>
    <col customWidth="1" min="4" max="4" width="7.63"/>
    <col customWidth="1" min="5" max="5" width="15.75"/>
    <col customWidth="1" min="6" max="6" width="10.5"/>
    <col customWidth="1" min="7" max="26" width="7.63"/>
  </cols>
  <sheetData>
    <row r="1">
      <c r="A1" s="154" t="s">
        <v>262</v>
      </c>
      <c r="B1" s="154"/>
      <c r="C1" s="154"/>
      <c r="D1" s="154"/>
      <c r="E1" s="154"/>
      <c r="F1" s="154"/>
      <c r="G1" s="156"/>
      <c r="H1" s="76"/>
      <c r="I1" s="76"/>
      <c r="J1" s="76"/>
      <c r="K1" s="76"/>
      <c r="L1" s="76"/>
      <c r="M1" s="76"/>
      <c r="N1" s="76"/>
      <c r="O1" s="76"/>
      <c r="P1" s="76"/>
      <c r="Q1" s="76"/>
      <c r="R1" s="76"/>
      <c r="S1" s="76"/>
      <c r="T1" s="76"/>
      <c r="U1" s="76"/>
      <c r="V1" s="76"/>
      <c r="W1" s="76"/>
      <c r="X1" s="76"/>
      <c r="Y1" s="76"/>
      <c r="Z1" s="76"/>
    </row>
    <row r="2">
      <c r="A2" s="157" t="s">
        <v>267</v>
      </c>
      <c r="B2" s="157"/>
      <c r="C2" s="157"/>
      <c r="D2" s="157"/>
      <c r="E2" s="157"/>
      <c r="F2" s="157"/>
      <c r="G2" s="156"/>
      <c r="H2" s="76"/>
      <c r="I2" s="76"/>
      <c r="J2" s="76"/>
      <c r="K2" s="76"/>
      <c r="L2" s="76"/>
      <c r="M2" s="76"/>
      <c r="N2" s="76"/>
      <c r="O2" s="76"/>
      <c r="P2" s="76"/>
      <c r="Q2" s="76"/>
      <c r="R2" s="76"/>
      <c r="S2" s="76"/>
      <c r="T2" s="76"/>
      <c r="U2" s="76"/>
      <c r="V2" s="76"/>
      <c r="W2" s="76"/>
      <c r="X2" s="76"/>
      <c r="Y2" s="76"/>
      <c r="Z2" s="76"/>
    </row>
    <row r="3">
      <c r="A3" s="73"/>
      <c r="B3" s="156"/>
      <c r="C3" s="156"/>
      <c r="D3" s="156"/>
      <c r="E3" s="156"/>
      <c r="F3" s="156"/>
      <c r="G3" s="156"/>
      <c r="H3" s="76"/>
      <c r="I3" s="76"/>
      <c r="J3" s="76"/>
      <c r="K3" s="76"/>
      <c r="L3" s="76"/>
      <c r="M3" s="76"/>
      <c r="N3" s="76"/>
      <c r="O3" s="76"/>
      <c r="P3" s="76"/>
      <c r="Q3" s="76"/>
      <c r="R3" s="76"/>
      <c r="S3" s="76"/>
      <c r="T3" s="76"/>
      <c r="U3" s="76"/>
      <c r="V3" s="76"/>
      <c r="W3" s="76"/>
      <c r="X3" s="76"/>
      <c r="Y3" s="76"/>
      <c r="Z3" s="76"/>
    </row>
    <row r="4">
      <c r="A4" s="160" t="s">
        <v>273</v>
      </c>
      <c r="B4" s="161" t="s">
        <v>275</v>
      </c>
      <c r="C4" s="162"/>
      <c r="D4" s="160" t="s">
        <v>277</v>
      </c>
      <c r="E4" s="161" t="s">
        <v>278</v>
      </c>
      <c r="F4" s="156"/>
      <c r="G4" s="156"/>
      <c r="H4" s="76"/>
      <c r="I4" s="76"/>
      <c r="J4" s="76"/>
      <c r="K4" s="76"/>
      <c r="L4" s="76"/>
      <c r="M4" s="76"/>
      <c r="N4" s="76"/>
      <c r="O4" s="76"/>
      <c r="P4" s="76"/>
      <c r="Q4" s="76"/>
      <c r="R4" s="76"/>
      <c r="S4" s="76"/>
      <c r="T4" s="76"/>
      <c r="U4" s="76"/>
      <c r="V4" s="76"/>
      <c r="W4" s="76"/>
      <c r="X4" s="76"/>
      <c r="Y4" s="76"/>
      <c r="Z4" s="76"/>
    </row>
    <row r="5">
      <c r="A5" s="160" t="s">
        <v>279</v>
      </c>
      <c r="B5" s="161" t="s">
        <v>21</v>
      </c>
      <c r="C5" s="162"/>
      <c r="D5" s="160" t="s">
        <v>280</v>
      </c>
      <c r="E5" s="163" t="s">
        <v>281</v>
      </c>
      <c r="F5" s="156"/>
      <c r="G5" s="156"/>
      <c r="H5" s="76"/>
      <c r="I5" s="76"/>
      <c r="J5" s="76"/>
      <c r="K5" s="76"/>
      <c r="L5" s="76"/>
      <c r="M5" s="76"/>
      <c r="N5" s="76"/>
      <c r="O5" s="76"/>
      <c r="P5" s="76"/>
      <c r="Q5" s="76"/>
      <c r="R5" s="76"/>
      <c r="S5" s="76"/>
      <c r="T5" s="76"/>
      <c r="U5" s="76"/>
      <c r="V5" s="76"/>
      <c r="W5" s="76"/>
      <c r="X5" s="76"/>
      <c r="Y5" s="76"/>
      <c r="Z5" s="76"/>
    </row>
    <row r="6">
      <c r="A6" s="156"/>
      <c r="B6" s="156"/>
      <c r="C6" s="156"/>
      <c r="D6" s="156"/>
      <c r="E6" s="156"/>
      <c r="F6" s="156"/>
      <c r="G6" s="156"/>
      <c r="H6" s="76"/>
      <c r="I6" s="76"/>
      <c r="J6" s="76"/>
      <c r="K6" s="76"/>
      <c r="L6" s="76"/>
      <c r="M6" s="76"/>
      <c r="N6" s="76"/>
      <c r="O6" s="76"/>
      <c r="P6" s="76"/>
      <c r="Q6" s="76"/>
      <c r="R6" s="76"/>
      <c r="S6" s="76"/>
      <c r="T6" s="76"/>
      <c r="U6" s="76"/>
      <c r="V6" s="76"/>
      <c r="W6" s="76"/>
      <c r="X6" s="76"/>
      <c r="Y6" s="76"/>
      <c r="Z6" s="76"/>
    </row>
    <row r="7">
      <c r="A7" s="156"/>
      <c r="B7" s="156"/>
      <c r="C7" s="156"/>
      <c r="D7" s="156"/>
      <c r="E7" s="156"/>
      <c r="F7" s="156"/>
      <c r="G7" s="156"/>
      <c r="H7" s="76"/>
      <c r="I7" s="76"/>
      <c r="J7" s="76"/>
      <c r="K7" s="76"/>
      <c r="L7" s="76"/>
      <c r="M7" s="76"/>
      <c r="N7" s="76"/>
      <c r="O7" s="76"/>
      <c r="P7" s="76"/>
      <c r="Q7" s="76"/>
      <c r="R7" s="76"/>
      <c r="S7" s="76"/>
      <c r="T7" s="76"/>
      <c r="U7" s="76"/>
      <c r="V7" s="76"/>
      <c r="W7" s="76"/>
      <c r="X7" s="76"/>
      <c r="Y7" s="76"/>
      <c r="Z7" s="76"/>
    </row>
    <row r="8">
      <c r="A8" s="166" t="s">
        <v>286</v>
      </c>
      <c r="B8" s="166"/>
      <c r="C8" s="166"/>
      <c r="D8" s="156"/>
      <c r="E8" s="166" t="s">
        <v>288</v>
      </c>
      <c r="F8" s="166"/>
      <c r="G8" s="156"/>
      <c r="H8" s="76"/>
      <c r="I8" s="76"/>
      <c r="J8" s="76"/>
      <c r="K8" s="76"/>
      <c r="L8" s="76"/>
      <c r="M8" s="76"/>
      <c r="N8" s="76"/>
      <c r="O8" s="76"/>
      <c r="P8" s="76"/>
      <c r="Q8" s="76"/>
      <c r="R8" s="76"/>
      <c r="S8" s="76"/>
      <c r="T8" s="76"/>
      <c r="U8" s="76"/>
      <c r="V8" s="76"/>
      <c r="W8" s="76"/>
      <c r="X8" s="76"/>
      <c r="Y8" s="76"/>
      <c r="Z8" s="76"/>
    </row>
    <row r="9">
      <c r="A9" s="167" t="s">
        <v>290</v>
      </c>
      <c r="B9" s="167" t="s">
        <v>291</v>
      </c>
      <c r="C9" s="167" t="s">
        <v>292</v>
      </c>
      <c r="D9" s="156"/>
      <c r="E9" s="167" t="s">
        <v>293</v>
      </c>
      <c r="F9" s="167" t="s">
        <v>291</v>
      </c>
      <c r="G9" s="156"/>
      <c r="H9" s="76"/>
      <c r="I9" s="76"/>
      <c r="J9" s="76"/>
      <c r="K9" s="76"/>
      <c r="L9" s="76"/>
      <c r="M9" s="76"/>
      <c r="N9" s="76"/>
      <c r="O9" s="76"/>
      <c r="P9" s="76"/>
      <c r="Q9" s="76"/>
      <c r="R9" s="76"/>
      <c r="S9" s="76"/>
      <c r="T9" s="76"/>
      <c r="U9" s="76"/>
      <c r="V9" s="76"/>
      <c r="W9" s="76"/>
      <c r="X9" s="76"/>
      <c r="Y9" s="76"/>
      <c r="Z9" s="76"/>
    </row>
    <row r="10">
      <c r="A10" s="168" t="s">
        <v>159</v>
      </c>
      <c r="B10" s="168">
        <f>COUNTIF('4. Matriz Casos de Prueba'!G:G, A10)</f>
        <v>11</v>
      </c>
      <c r="C10" s="169">
        <f t="shared" ref="C10:C12" si="1">IF($B$14=0, 0, B10/$B$14)</f>
        <v>0.2291666667</v>
      </c>
      <c r="D10" s="156"/>
      <c r="E10" s="168" t="s">
        <v>193</v>
      </c>
      <c r="F10" s="168">
        <f>COUNTIF('5. Incidencias y Bugs'!D:D, E10)</f>
        <v>3</v>
      </c>
      <c r="G10" s="156"/>
      <c r="H10" s="76"/>
      <c r="I10" s="76"/>
      <c r="J10" s="76"/>
      <c r="K10" s="76"/>
      <c r="L10" s="76"/>
      <c r="M10" s="76"/>
      <c r="N10" s="76"/>
      <c r="O10" s="76"/>
      <c r="P10" s="76"/>
      <c r="Q10" s="76"/>
      <c r="R10" s="76"/>
      <c r="S10" s="76"/>
      <c r="T10" s="76"/>
      <c r="U10" s="76"/>
      <c r="V10" s="76"/>
      <c r="W10" s="76"/>
      <c r="X10" s="76"/>
      <c r="Y10" s="76"/>
      <c r="Z10" s="76"/>
    </row>
    <row r="11">
      <c r="A11" s="168" t="s">
        <v>68</v>
      </c>
      <c r="B11" s="168">
        <f>COUNTIF('4. Matriz Casos de Prueba'!G:G, A11)</f>
        <v>37</v>
      </c>
      <c r="C11" s="169">
        <f t="shared" si="1"/>
        <v>0.7708333333</v>
      </c>
      <c r="D11" s="156"/>
      <c r="E11" s="168" t="s">
        <v>246</v>
      </c>
      <c r="F11" s="168">
        <f>COUNTIF('5. Incidencias y Bugs'!D:D, E11)</f>
        <v>8</v>
      </c>
      <c r="G11" s="156"/>
      <c r="H11" s="76"/>
      <c r="I11" s="76"/>
      <c r="J11" s="76"/>
      <c r="K11" s="76"/>
      <c r="L11" s="76"/>
      <c r="M11" s="76"/>
      <c r="N11" s="76"/>
      <c r="O11" s="76"/>
      <c r="P11" s="76"/>
      <c r="Q11" s="76"/>
      <c r="R11" s="76"/>
      <c r="S11" s="76"/>
      <c r="T11" s="76"/>
      <c r="U11" s="76"/>
      <c r="V11" s="76"/>
      <c r="W11" s="76"/>
      <c r="X11" s="76"/>
      <c r="Y11" s="76"/>
      <c r="Z11" s="76"/>
    </row>
    <row r="12">
      <c r="A12" s="168" t="s">
        <v>309</v>
      </c>
      <c r="B12" s="168">
        <f>COUNTIF('4. Matriz Casos de Prueba'!G:G, A12)</f>
        <v>0</v>
      </c>
      <c r="C12" s="169">
        <f t="shared" si="1"/>
        <v>0</v>
      </c>
      <c r="D12" s="156"/>
      <c r="E12" s="168" t="s">
        <v>210</v>
      </c>
      <c r="F12" s="168">
        <f>COUNTIF('5. Incidencias y Bugs'!D:D, E12)</f>
        <v>5</v>
      </c>
      <c r="G12" s="156"/>
      <c r="H12" s="76"/>
      <c r="I12" s="76"/>
      <c r="J12" s="76"/>
      <c r="K12" s="76"/>
      <c r="L12" s="76"/>
      <c r="M12" s="76"/>
      <c r="N12" s="76"/>
      <c r="O12" s="76"/>
      <c r="P12" s="76"/>
      <c r="Q12" s="76"/>
      <c r="R12" s="76"/>
      <c r="S12" s="76"/>
      <c r="T12" s="76"/>
      <c r="U12" s="76"/>
      <c r="V12" s="76"/>
      <c r="W12" s="76"/>
      <c r="X12" s="76"/>
      <c r="Y12" s="76"/>
      <c r="Z12" s="76"/>
    </row>
    <row r="13">
      <c r="A13" s="168"/>
      <c r="B13" s="168"/>
      <c r="C13" s="171"/>
      <c r="D13" s="156"/>
      <c r="E13" s="168" t="s">
        <v>315</v>
      </c>
      <c r="F13" s="168">
        <f>COUNTIF('5. Incidencias y Bugs'!D:D, E13)</f>
        <v>3</v>
      </c>
      <c r="G13" s="156"/>
      <c r="H13" s="76"/>
      <c r="I13" s="76"/>
      <c r="J13" s="76"/>
      <c r="K13" s="76"/>
      <c r="L13" s="76"/>
      <c r="M13" s="76"/>
      <c r="N13" s="76"/>
      <c r="O13" s="76"/>
      <c r="P13" s="76"/>
      <c r="Q13" s="76"/>
      <c r="R13" s="76"/>
      <c r="S13" s="76"/>
      <c r="T13" s="76"/>
      <c r="U13" s="76"/>
      <c r="V13" s="76"/>
      <c r="W13" s="76"/>
      <c r="X13" s="76"/>
      <c r="Y13" s="76"/>
      <c r="Z13" s="76"/>
    </row>
    <row r="14">
      <c r="A14" s="172" t="s">
        <v>316</v>
      </c>
      <c r="B14" s="172">
        <f t="shared" ref="B14:C14" si="2">SUM(B10:B12)</f>
        <v>48</v>
      </c>
      <c r="C14" s="173">
        <f t="shared" si="2"/>
        <v>1</v>
      </c>
      <c r="D14" s="156"/>
      <c r="E14" s="172" t="s">
        <v>316</v>
      </c>
      <c r="F14" s="172">
        <f>SUM(F10:F13)</f>
        <v>19</v>
      </c>
      <c r="G14" s="156"/>
      <c r="H14" s="76"/>
      <c r="I14" s="76"/>
      <c r="J14" s="76"/>
      <c r="K14" s="76"/>
      <c r="L14" s="76"/>
      <c r="M14" s="76"/>
      <c r="N14" s="76"/>
      <c r="O14" s="76"/>
      <c r="P14" s="76"/>
      <c r="Q14" s="76"/>
      <c r="R14" s="76"/>
      <c r="S14" s="76"/>
      <c r="T14" s="76"/>
      <c r="U14" s="76"/>
      <c r="V14" s="76"/>
      <c r="W14" s="76"/>
      <c r="X14" s="76"/>
      <c r="Y14" s="76"/>
      <c r="Z14" s="76"/>
    </row>
    <row r="15">
      <c r="A15" s="156"/>
      <c r="B15" s="156"/>
      <c r="C15" s="156"/>
      <c r="D15" s="156"/>
      <c r="E15" s="156"/>
      <c r="F15" s="156"/>
      <c r="G15" s="156"/>
      <c r="H15" s="76"/>
      <c r="I15" s="76"/>
      <c r="J15" s="76"/>
      <c r="K15" s="76"/>
      <c r="L15" s="76"/>
      <c r="M15" s="76"/>
      <c r="N15" s="76"/>
      <c r="O15" s="76"/>
      <c r="P15" s="76"/>
      <c r="Q15" s="76"/>
      <c r="R15" s="76"/>
      <c r="S15" s="76"/>
      <c r="T15" s="76"/>
      <c r="U15" s="76"/>
      <c r="V15" s="76"/>
      <c r="W15" s="76"/>
      <c r="X15" s="76"/>
      <c r="Y15" s="76"/>
      <c r="Z15" s="76"/>
    </row>
    <row r="16">
      <c r="A16" s="156"/>
      <c r="B16" s="156"/>
      <c r="C16" s="156"/>
      <c r="D16" s="156"/>
      <c r="E16" s="156"/>
      <c r="F16" s="156"/>
      <c r="G16" s="156"/>
      <c r="H16" s="76"/>
      <c r="I16" s="76"/>
      <c r="J16" s="76"/>
      <c r="K16" s="76"/>
      <c r="L16" s="76"/>
      <c r="M16" s="76"/>
      <c r="N16" s="76"/>
      <c r="O16" s="76"/>
      <c r="P16" s="76"/>
      <c r="Q16" s="76"/>
      <c r="R16" s="76"/>
      <c r="S16" s="76"/>
      <c r="T16" s="76"/>
      <c r="U16" s="76"/>
      <c r="V16" s="76"/>
      <c r="W16" s="76"/>
      <c r="X16" s="76"/>
      <c r="Y16" s="76"/>
      <c r="Z16" s="76"/>
    </row>
    <row r="17">
      <c r="A17" s="156"/>
      <c r="B17" s="156"/>
      <c r="C17" s="156"/>
      <c r="D17" s="156"/>
      <c r="E17" s="156"/>
      <c r="F17" s="156"/>
      <c r="G17" s="156"/>
      <c r="H17" s="76"/>
      <c r="I17" s="76"/>
      <c r="J17" s="76"/>
      <c r="K17" s="76"/>
      <c r="L17" s="76"/>
      <c r="M17" s="76"/>
      <c r="N17" s="76"/>
      <c r="O17" s="76"/>
      <c r="P17" s="76"/>
      <c r="Q17" s="76"/>
      <c r="R17" s="76"/>
      <c r="S17" s="76"/>
      <c r="T17" s="76"/>
      <c r="U17" s="76"/>
      <c r="V17" s="76"/>
      <c r="W17" s="76"/>
      <c r="X17" s="76"/>
      <c r="Y17" s="76"/>
      <c r="Z17" s="76"/>
    </row>
    <row r="18">
      <c r="A18" s="156"/>
      <c r="B18" s="156"/>
      <c r="C18" s="156"/>
      <c r="D18" s="156"/>
      <c r="E18" s="156"/>
      <c r="F18" s="156"/>
      <c r="G18" s="156"/>
      <c r="H18" s="76"/>
      <c r="I18" s="76"/>
      <c r="J18" s="76"/>
      <c r="K18" s="76"/>
      <c r="L18" s="76"/>
      <c r="M18" s="76"/>
      <c r="N18" s="76"/>
      <c r="O18" s="76"/>
      <c r="P18" s="76"/>
      <c r="Q18" s="76"/>
      <c r="R18" s="76"/>
      <c r="S18" s="76"/>
      <c r="T18" s="76"/>
      <c r="U18" s="76"/>
      <c r="V18" s="76"/>
      <c r="W18" s="76"/>
      <c r="X18" s="76"/>
      <c r="Y18" s="76"/>
      <c r="Z18" s="76"/>
    </row>
    <row r="19">
      <c r="A19" s="156"/>
      <c r="B19" s="156"/>
      <c r="C19" s="156"/>
      <c r="D19" s="156"/>
      <c r="E19" s="156"/>
      <c r="F19" s="156"/>
      <c r="G19" s="156"/>
      <c r="H19" s="76"/>
      <c r="I19" s="76"/>
      <c r="J19" s="76"/>
      <c r="K19" s="76"/>
      <c r="L19" s="76"/>
      <c r="M19" s="76"/>
      <c r="N19" s="76"/>
      <c r="O19" s="76"/>
      <c r="P19" s="76"/>
      <c r="Q19" s="76"/>
      <c r="R19" s="76"/>
      <c r="S19" s="76"/>
      <c r="T19" s="76"/>
      <c r="U19" s="76"/>
      <c r="V19" s="76"/>
      <c r="W19" s="76"/>
      <c r="X19" s="76"/>
      <c r="Y19" s="76"/>
      <c r="Z19" s="76"/>
    </row>
    <row r="20">
      <c r="A20" s="156"/>
      <c r="B20" s="156"/>
      <c r="C20" s="156"/>
      <c r="D20" s="156"/>
      <c r="E20" s="156"/>
      <c r="F20" s="156"/>
      <c r="G20" s="156"/>
      <c r="H20" s="76"/>
      <c r="I20" s="76"/>
      <c r="J20" s="76"/>
      <c r="K20" s="76"/>
      <c r="L20" s="76"/>
      <c r="M20" s="76"/>
      <c r="N20" s="76"/>
      <c r="O20" s="76"/>
      <c r="P20" s="76"/>
      <c r="Q20" s="76"/>
      <c r="R20" s="76"/>
      <c r="S20" s="76"/>
      <c r="T20" s="76"/>
      <c r="U20" s="76"/>
      <c r="V20" s="76"/>
      <c r="W20" s="76"/>
      <c r="X20" s="76"/>
      <c r="Y20" s="76"/>
      <c r="Z20" s="76"/>
    </row>
    <row r="21" ht="15.75" customHeight="1">
      <c r="A21" s="156"/>
      <c r="B21" s="156"/>
      <c r="C21" s="156"/>
      <c r="D21" s="156"/>
      <c r="E21" s="156"/>
      <c r="F21" s="156"/>
      <c r="G21" s="156"/>
      <c r="H21" s="76"/>
      <c r="I21" s="76"/>
      <c r="J21" s="76"/>
      <c r="K21" s="76"/>
      <c r="L21" s="76"/>
      <c r="M21" s="76"/>
      <c r="N21" s="76"/>
      <c r="O21" s="76"/>
      <c r="P21" s="76"/>
      <c r="Q21" s="76"/>
      <c r="R21" s="76"/>
      <c r="S21" s="76"/>
      <c r="T21" s="76"/>
      <c r="U21" s="76"/>
      <c r="V21" s="76"/>
      <c r="W21" s="76"/>
      <c r="X21" s="76"/>
      <c r="Y21" s="76"/>
      <c r="Z21" s="76"/>
    </row>
    <row r="22" ht="15.75" customHeight="1">
      <c r="A22" s="156"/>
      <c r="B22" s="156"/>
      <c r="C22" s="156"/>
      <c r="D22" s="156"/>
      <c r="E22" s="156"/>
      <c r="F22" s="156"/>
      <c r="G22" s="156"/>
      <c r="H22" s="76"/>
      <c r="I22" s="76"/>
      <c r="J22" s="76"/>
      <c r="K22" s="76"/>
      <c r="L22" s="76"/>
      <c r="M22" s="76"/>
      <c r="N22" s="76"/>
      <c r="O22" s="76"/>
      <c r="P22" s="76"/>
      <c r="Q22" s="76"/>
      <c r="R22" s="76"/>
      <c r="S22" s="76"/>
      <c r="T22" s="76"/>
      <c r="U22" s="76"/>
      <c r="V22" s="76"/>
      <c r="W22" s="76"/>
      <c r="X22" s="76"/>
      <c r="Y22" s="76"/>
      <c r="Z22" s="76"/>
    </row>
    <row r="23" ht="15.75" customHeight="1">
      <c r="A23" s="156"/>
      <c r="B23" s="156"/>
      <c r="C23" s="156"/>
      <c r="D23" s="156"/>
      <c r="E23" s="156"/>
      <c r="F23" s="156"/>
      <c r="G23" s="156"/>
      <c r="H23" s="76"/>
      <c r="I23" s="76"/>
      <c r="J23" s="76"/>
      <c r="K23" s="76"/>
      <c r="L23" s="76"/>
      <c r="M23" s="76"/>
      <c r="N23" s="76"/>
      <c r="O23" s="76"/>
      <c r="P23" s="76"/>
      <c r="Q23" s="76"/>
      <c r="R23" s="76"/>
      <c r="S23" s="76"/>
      <c r="T23" s="76"/>
      <c r="U23" s="76"/>
      <c r="V23" s="76"/>
      <c r="W23" s="76"/>
      <c r="X23" s="76"/>
      <c r="Y23" s="76"/>
      <c r="Z23" s="76"/>
    </row>
    <row r="24" ht="15.75" customHeight="1">
      <c r="A24" s="156"/>
      <c r="B24" s="156"/>
      <c r="C24" s="156"/>
      <c r="D24" s="156"/>
      <c r="E24" s="156"/>
      <c r="F24" s="156"/>
      <c r="G24" s="156"/>
      <c r="H24" s="76"/>
      <c r="I24" s="76"/>
      <c r="J24" s="76"/>
      <c r="K24" s="76"/>
      <c r="L24" s="76"/>
      <c r="M24" s="76"/>
      <c r="N24" s="76"/>
      <c r="O24" s="76"/>
      <c r="P24" s="76"/>
      <c r="Q24" s="76"/>
      <c r="R24" s="76"/>
      <c r="S24" s="76"/>
      <c r="T24" s="76"/>
      <c r="U24" s="76"/>
      <c r="V24" s="76"/>
      <c r="W24" s="76"/>
      <c r="X24" s="76"/>
      <c r="Y24" s="76"/>
      <c r="Z24" s="76"/>
    </row>
    <row r="25" ht="15.75" customHeight="1">
      <c r="A25" s="156"/>
      <c r="B25" s="156"/>
      <c r="C25" s="156"/>
      <c r="D25" s="156"/>
      <c r="E25" s="156"/>
      <c r="F25" s="156"/>
      <c r="G25" s="156"/>
      <c r="H25" s="76"/>
      <c r="I25" s="76"/>
      <c r="J25" s="76"/>
      <c r="K25" s="76"/>
      <c r="L25" s="76"/>
      <c r="M25" s="76"/>
      <c r="N25" s="76"/>
      <c r="O25" s="76"/>
      <c r="P25" s="76"/>
      <c r="Q25" s="76"/>
      <c r="R25" s="76"/>
      <c r="S25" s="76"/>
      <c r="T25" s="76"/>
      <c r="U25" s="76"/>
      <c r="V25" s="76"/>
      <c r="W25" s="76"/>
      <c r="X25" s="76"/>
      <c r="Y25" s="76"/>
      <c r="Z25" s="76"/>
    </row>
    <row r="26" ht="15.75" customHeight="1">
      <c r="A26" s="156"/>
      <c r="B26" s="156"/>
      <c r="C26" s="156"/>
      <c r="D26" s="156"/>
      <c r="E26" s="156"/>
      <c r="F26" s="156"/>
      <c r="G26" s="156"/>
      <c r="H26" s="76"/>
      <c r="I26" s="76"/>
      <c r="J26" s="76"/>
      <c r="K26" s="76"/>
      <c r="L26" s="76"/>
      <c r="M26" s="76"/>
      <c r="N26" s="76"/>
      <c r="O26" s="76"/>
      <c r="P26" s="76"/>
      <c r="Q26" s="76"/>
      <c r="R26" s="76"/>
      <c r="S26" s="76"/>
      <c r="T26" s="76"/>
      <c r="U26" s="76"/>
      <c r="V26" s="76"/>
      <c r="W26" s="76"/>
      <c r="X26" s="76"/>
      <c r="Y26" s="76"/>
      <c r="Z26" s="76"/>
    </row>
    <row r="27" ht="15.75" customHeight="1">
      <c r="A27" s="156"/>
      <c r="B27" s="156"/>
      <c r="C27" s="156"/>
      <c r="D27" s="156"/>
      <c r="E27" s="156"/>
      <c r="F27" s="156"/>
      <c r="G27" s="156"/>
      <c r="H27" s="76"/>
      <c r="I27" s="76"/>
      <c r="J27" s="76"/>
      <c r="K27" s="76"/>
      <c r="L27" s="76"/>
      <c r="M27" s="76"/>
      <c r="N27" s="76"/>
      <c r="O27" s="76"/>
      <c r="P27" s="76"/>
      <c r="Q27" s="76"/>
      <c r="R27" s="76"/>
      <c r="S27" s="76"/>
      <c r="T27" s="76"/>
      <c r="U27" s="76"/>
      <c r="V27" s="76"/>
      <c r="W27" s="76"/>
      <c r="X27" s="76"/>
      <c r="Y27" s="76"/>
      <c r="Z27" s="76"/>
    </row>
    <row r="28" ht="15.75" customHeight="1">
      <c r="A28" s="156"/>
      <c r="B28" s="156"/>
      <c r="C28" s="156"/>
      <c r="D28" s="156"/>
      <c r="E28" s="156"/>
      <c r="F28" s="156"/>
      <c r="G28" s="156"/>
      <c r="H28" s="76"/>
      <c r="I28" s="76"/>
      <c r="J28" s="76"/>
      <c r="K28" s="76"/>
      <c r="L28" s="76"/>
      <c r="M28" s="76"/>
      <c r="N28" s="76"/>
      <c r="O28" s="76"/>
      <c r="P28" s="76"/>
      <c r="Q28" s="76"/>
      <c r="R28" s="76"/>
      <c r="S28" s="76"/>
      <c r="T28" s="76"/>
      <c r="U28" s="76"/>
      <c r="V28" s="76"/>
      <c r="W28" s="76"/>
      <c r="X28" s="76"/>
      <c r="Y28" s="76"/>
      <c r="Z28" s="76"/>
    </row>
    <row r="29" ht="15.75" customHeight="1">
      <c r="A29" s="156"/>
      <c r="B29" s="156"/>
      <c r="C29" s="156"/>
      <c r="D29" s="156"/>
      <c r="E29" s="156"/>
      <c r="F29" s="156"/>
      <c r="G29" s="156"/>
      <c r="H29" s="76"/>
      <c r="I29" s="76"/>
      <c r="J29" s="76"/>
      <c r="K29" s="76"/>
      <c r="L29" s="76"/>
      <c r="M29" s="76"/>
      <c r="N29" s="76"/>
      <c r="O29" s="76"/>
      <c r="P29" s="76"/>
      <c r="Q29" s="76"/>
      <c r="R29" s="76"/>
      <c r="S29" s="76"/>
      <c r="T29" s="76"/>
      <c r="U29" s="76"/>
      <c r="V29" s="76"/>
      <c r="W29" s="76"/>
      <c r="X29" s="76"/>
      <c r="Y29" s="76"/>
      <c r="Z29" s="76"/>
    </row>
    <row r="30" ht="15.75" customHeight="1">
      <c r="A30" s="156"/>
      <c r="B30" s="156"/>
      <c r="C30" s="156"/>
      <c r="D30" s="156"/>
      <c r="E30" s="156"/>
      <c r="F30" s="156"/>
      <c r="G30" s="156"/>
      <c r="H30" s="76"/>
      <c r="I30" s="76"/>
      <c r="J30" s="76"/>
      <c r="K30" s="76"/>
      <c r="L30" s="76"/>
      <c r="M30" s="76"/>
      <c r="N30" s="76"/>
      <c r="O30" s="76"/>
      <c r="P30" s="76"/>
      <c r="Q30" s="76"/>
      <c r="R30" s="76"/>
      <c r="S30" s="76"/>
      <c r="T30" s="76"/>
      <c r="U30" s="76"/>
      <c r="V30" s="76"/>
      <c r="W30" s="76"/>
      <c r="X30" s="76"/>
      <c r="Y30" s="76"/>
      <c r="Z30" s="76"/>
    </row>
    <row r="31" ht="15.75" customHeight="1">
      <c r="A31" s="156"/>
      <c r="B31" s="156"/>
      <c r="C31" s="156"/>
      <c r="D31" s="156"/>
      <c r="E31" s="156"/>
      <c r="F31" s="156"/>
      <c r="G31" s="156"/>
      <c r="H31" s="76"/>
      <c r="I31" s="76"/>
      <c r="J31" s="76"/>
      <c r="K31" s="76"/>
      <c r="L31" s="76"/>
      <c r="M31" s="76"/>
      <c r="N31" s="76"/>
      <c r="O31" s="76"/>
      <c r="P31" s="76"/>
      <c r="Q31" s="76"/>
      <c r="R31" s="76"/>
      <c r="S31" s="76"/>
      <c r="T31" s="76"/>
      <c r="U31" s="76"/>
      <c r="V31" s="76"/>
      <c r="W31" s="76"/>
      <c r="X31" s="76"/>
      <c r="Y31" s="76"/>
      <c r="Z31" s="76"/>
    </row>
    <row r="32" ht="15.75" customHeight="1">
      <c r="A32" s="156"/>
      <c r="B32" s="156"/>
      <c r="C32" s="156"/>
      <c r="D32" s="156"/>
      <c r="E32" s="156"/>
      <c r="F32" s="156"/>
      <c r="G32" s="156"/>
      <c r="H32" s="76"/>
      <c r="I32" s="76"/>
      <c r="J32" s="76"/>
      <c r="K32" s="76"/>
      <c r="L32" s="76"/>
      <c r="M32" s="76"/>
      <c r="N32" s="76"/>
      <c r="O32" s="76"/>
      <c r="P32" s="76"/>
      <c r="Q32" s="76"/>
      <c r="R32" s="76"/>
      <c r="S32" s="76"/>
      <c r="T32" s="76"/>
      <c r="U32" s="76"/>
      <c r="V32" s="76"/>
      <c r="W32" s="76"/>
      <c r="X32" s="76"/>
      <c r="Y32" s="76"/>
      <c r="Z32" s="76"/>
    </row>
    <row r="33" ht="15.75" customHeight="1">
      <c r="A33" s="156"/>
      <c r="B33" s="156"/>
      <c r="C33" s="156"/>
      <c r="D33" s="156"/>
      <c r="E33" s="156"/>
      <c r="F33" s="156"/>
      <c r="G33" s="156"/>
      <c r="H33" s="76"/>
      <c r="I33" s="76"/>
      <c r="J33" s="76"/>
      <c r="K33" s="76"/>
      <c r="L33" s="76"/>
      <c r="M33" s="76"/>
      <c r="N33" s="76"/>
      <c r="O33" s="76"/>
      <c r="P33" s="76"/>
      <c r="Q33" s="76"/>
      <c r="R33" s="76"/>
      <c r="S33" s="76"/>
      <c r="T33" s="76"/>
      <c r="U33" s="76"/>
      <c r="V33" s="76"/>
      <c r="W33" s="76"/>
      <c r="X33" s="76"/>
      <c r="Y33" s="76"/>
      <c r="Z33" s="76"/>
    </row>
    <row r="34" ht="15.75" customHeight="1">
      <c r="A34" s="156"/>
      <c r="B34" s="156"/>
      <c r="C34" s="156"/>
      <c r="D34" s="156"/>
      <c r="E34" s="156"/>
      <c r="F34" s="156"/>
      <c r="G34" s="156"/>
      <c r="H34" s="76"/>
      <c r="I34" s="76"/>
      <c r="J34" s="76"/>
      <c r="K34" s="76"/>
      <c r="L34" s="76"/>
      <c r="M34" s="76"/>
      <c r="N34" s="76"/>
      <c r="O34" s="76"/>
      <c r="P34" s="76"/>
      <c r="Q34" s="76"/>
      <c r="R34" s="76"/>
      <c r="S34" s="76"/>
      <c r="T34" s="76"/>
      <c r="U34" s="76"/>
      <c r="V34" s="76"/>
      <c r="W34" s="76"/>
      <c r="X34" s="76"/>
      <c r="Y34" s="76"/>
      <c r="Z34" s="76"/>
    </row>
    <row r="35" ht="15.75" customHeight="1">
      <c r="A35" s="156"/>
      <c r="B35" s="156"/>
      <c r="C35" s="156"/>
      <c r="D35" s="156"/>
      <c r="E35" s="156"/>
      <c r="F35" s="156"/>
      <c r="G35" s="156"/>
      <c r="H35" s="76"/>
      <c r="I35" s="76"/>
      <c r="J35" s="76"/>
      <c r="K35" s="76"/>
      <c r="L35" s="76"/>
      <c r="M35" s="76"/>
      <c r="N35" s="76"/>
      <c r="O35" s="76"/>
      <c r="P35" s="76"/>
      <c r="Q35" s="76"/>
      <c r="R35" s="76"/>
      <c r="S35" s="76"/>
      <c r="T35" s="76"/>
      <c r="U35" s="76"/>
      <c r="V35" s="76"/>
      <c r="W35" s="76"/>
      <c r="X35" s="76"/>
      <c r="Y35" s="76"/>
      <c r="Z35" s="76"/>
    </row>
    <row r="36" ht="15.75" customHeight="1">
      <c r="A36" s="156"/>
      <c r="B36" s="156"/>
      <c r="C36" s="156"/>
      <c r="D36" s="156"/>
      <c r="E36" s="156"/>
      <c r="F36" s="156"/>
      <c r="G36" s="156"/>
      <c r="H36" s="76"/>
      <c r="I36" s="76"/>
      <c r="J36" s="76"/>
      <c r="K36" s="76"/>
      <c r="L36" s="76"/>
      <c r="M36" s="76"/>
      <c r="N36" s="76"/>
      <c r="O36" s="76"/>
      <c r="P36" s="76"/>
      <c r="Q36" s="76"/>
      <c r="R36" s="76"/>
      <c r="S36" s="76"/>
      <c r="T36" s="76"/>
      <c r="U36" s="76"/>
      <c r="V36" s="76"/>
      <c r="W36" s="76"/>
      <c r="X36" s="76"/>
      <c r="Y36" s="76"/>
      <c r="Z36" s="76"/>
    </row>
    <row r="37" ht="15.75" customHeight="1">
      <c r="A37" s="156"/>
      <c r="B37" s="156"/>
      <c r="C37" s="156"/>
      <c r="D37" s="156"/>
      <c r="E37" s="156"/>
      <c r="F37" s="156"/>
      <c r="G37" s="156"/>
      <c r="H37" s="76"/>
      <c r="I37" s="76"/>
      <c r="J37" s="76"/>
      <c r="K37" s="76"/>
      <c r="L37" s="76"/>
      <c r="M37" s="76"/>
      <c r="N37" s="76"/>
      <c r="O37" s="76"/>
      <c r="P37" s="76"/>
      <c r="Q37" s="76"/>
      <c r="R37" s="76"/>
      <c r="S37" s="76"/>
      <c r="T37" s="76"/>
      <c r="U37" s="76"/>
      <c r="V37" s="76"/>
      <c r="W37" s="76"/>
      <c r="X37" s="76"/>
      <c r="Y37" s="76"/>
      <c r="Z37" s="76"/>
    </row>
    <row r="38" ht="15.75" customHeight="1">
      <c r="A38" s="156"/>
      <c r="B38" s="156"/>
      <c r="C38" s="156"/>
      <c r="D38" s="156"/>
      <c r="E38" s="156"/>
      <c r="F38" s="156"/>
      <c r="G38" s="156"/>
      <c r="H38" s="76"/>
      <c r="I38" s="76"/>
      <c r="J38" s="76"/>
      <c r="K38" s="76"/>
      <c r="L38" s="76"/>
      <c r="M38" s="76"/>
      <c r="N38" s="76"/>
      <c r="O38" s="76"/>
      <c r="P38" s="76"/>
      <c r="Q38" s="76"/>
      <c r="R38" s="76"/>
      <c r="S38" s="76"/>
      <c r="T38" s="76"/>
      <c r="U38" s="76"/>
      <c r="V38" s="76"/>
      <c r="W38" s="76"/>
      <c r="X38" s="76"/>
      <c r="Y38" s="76"/>
      <c r="Z38" s="76"/>
    </row>
    <row r="39" ht="15.75" customHeight="1">
      <c r="A39" s="156"/>
      <c r="B39" s="156"/>
      <c r="C39" s="156"/>
      <c r="D39" s="156"/>
      <c r="E39" s="156"/>
      <c r="F39" s="156"/>
      <c r="G39" s="156"/>
      <c r="H39" s="76"/>
      <c r="I39" s="76"/>
      <c r="J39" s="76"/>
      <c r="K39" s="76"/>
      <c r="L39" s="76"/>
      <c r="M39" s="76"/>
      <c r="N39" s="76"/>
      <c r="O39" s="76"/>
      <c r="P39" s="76"/>
      <c r="Q39" s="76"/>
      <c r="R39" s="76"/>
      <c r="S39" s="76"/>
      <c r="T39" s="76"/>
      <c r="U39" s="76"/>
      <c r="V39" s="76"/>
      <c r="W39" s="76"/>
      <c r="X39" s="76"/>
      <c r="Y39" s="76"/>
      <c r="Z39" s="76"/>
    </row>
    <row r="40" ht="15.75" customHeight="1">
      <c r="A40" s="156"/>
      <c r="B40" s="156"/>
      <c r="C40" s="156"/>
      <c r="D40" s="156"/>
      <c r="E40" s="156"/>
      <c r="F40" s="156"/>
      <c r="G40" s="156"/>
      <c r="H40" s="76"/>
      <c r="I40" s="76"/>
      <c r="J40" s="76"/>
      <c r="K40" s="76"/>
      <c r="L40" s="76"/>
      <c r="M40" s="76"/>
      <c r="N40" s="76"/>
      <c r="O40" s="76"/>
      <c r="P40" s="76"/>
      <c r="Q40" s="76"/>
      <c r="R40" s="76"/>
      <c r="S40" s="76"/>
      <c r="T40" s="76"/>
      <c r="U40" s="76"/>
      <c r="V40" s="76"/>
      <c r="W40" s="76"/>
      <c r="X40" s="76"/>
      <c r="Y40" s="76"/>
      <c r="Z40" s="76"/>
    </row>
    <row r="41" ht="15.75" customHeight="1">
      <c r="A41" s="156"/>
      <c r="B41" s="156"/>
      <c r="C41" s="156"/>
      <c r="D41" s="156"/>
      <c r="E41" s="156"/>
      <c r="F41" s="156"/>
      <c r="G41" s="156"/>
      <c r="H41" s="76"/>
      <c r="I41" s="76"/>
      <c r="J41" s="76"/>
      <c r="K41" s="76"/>
      <c r="L41" s="76"/>
      <c r="M41" s="76"/>
      <c r="N41" s="76"/>
      <c r="O41" s="76"/>
      <c r="P41" s="76"/>
      <c r="Q41" s="76"/>
      <c r="R41" s="76"/>
      <c r="S41" s="76"/>
      <c r="T41" s="76"/>
      <c r="U41" s="76"/>
      <c r="V41" s="76"/>
      <c r="W41" s="76"/>
      <c r="X41" s="76"/>
      <c r="Y41" s="76"/>
      <c r="Z41" s="76"/>
    </row>
    <row r="42" ht="15.75" customHeight="1">
      <c r="A42" s="156"/>
      <c r="B42" s="156"/>
      <c r="C42" s="156"/>
      <c r="D42" s="156"/>
      <c r="E42" s="156"/>
      <c r="F42" s="156"/>
      <c r="G42" s="156"/>
      <c r="H42" s="76"/>
      <c r="I42" s="76"/>
      <c r="J42" s="76"/>
      <c r="K42" s="76"/>
      <c r="L42" s="76"/>
      <c r="M42" s="76"/>
      <c r="N42" s="76"/>
      <c r="O42" s="76"/>
      <c r="P42" s="76"/>
      <c r="Q42" s="76"/>
      <c r="R42" s="76"/>
      <c r="S42" s="76"/>
      <c r="T42" s="76"/>
      <c r="U42" s="76"/>
      <c r="V42" s="76"/>
      <c r="W42" s="76"/>
      <c r="X42" s="76"/>
      <c r="Y42" s="76"/>
      <c r="Z42" s="76"/>
    </row>
    <row r="43" ht="15.75" customHeight="1">
      <c r="A43" s="156"/>
      <c r="B43" s="156"/>
      <c r="C43" s="156"/>
      <c r="D43" s="156"/>
      <c r="E43" s="156"/>
      <c r="F43" s="156"/>
      <c r="G43" s="156"/>
      <c r="H43" s="76"/>
      <c r="I43" s="76"/>
      <c r="J43" s="76"/>
      <c r="K43" s="76"/>
      <c r="L43" s="76"/>
      <c r="M43" s="76"/>
      <c r="N43" s="76"/>
      <c r="O43" s="76"/>
      <c r="P43" s="76"/>
      <c r="Q43" s="76"/>
      <c r="R43" s="76"/>
      <c r="S43" s="76"/>
      <c r="T43" s="76"/>
      <c r="U43" s="76"/>
      <c r="V43" s="76"/>
      <c r="W43" s="76"/>
      <c r="X43" s="76"/>
      <c r="Y43" s="76"/>
      <c r="Z43" s="76"/>
    </row>
    <row r="44" ht="15.75" customHeight="1">
      <c r="A44" s="156"/>
      <c r="B44" s="156"/>
      <c r="C44" s="156"/>
      <c r="D44" s="156"/>
      <c r="E44" s="156"/>
      <c r="F44" s="156"/>
      <c r="G44" s="156"/>
      <c r="H44" s="76"/>
      <c r="I44" s="76"/>
      <c r="J44" s="76"/>
      <c r="K44" s="76"/>
      <c r="L44" s="76"/>
      <c r="M44" s="76"/>
      <c r="N44" s="76"/>
      <c r="O44" s="76"/>
      <c r="P44" s="76"/>
      <c r="Q44" s="76"/>
      <c r="R44" s="76"/>
      <c r="S44" s="76"/>
      <c r="T44" s="76"/>
      <c r="U44" s="76"/>
      <c r="V44" s="76"/>
      <c r="W44" s="76"/>
      <c r="X44" s="76"/>
      <c r="Y44" s="76"/>
      <c r="Z44" s="76"/>
    </row>
    <row r="45" ht="15.75" customHeight="1">
      <c r="A45" s="156"/>
      <c r="B45" s="156"/>
      <c r="C45" s="156"/>
      <c r="D45" s="156"/>
      <c r="E45" s="156"/>
      <c r="F45" s="156"/>
      <c r="G45" s="156"/>
      <c r="H45" s="76"/>
      <c r="I45" s="76"/>
      <c r="J45" s="76"/>
      <c r="K45" s="76"/>
      <c r="L45" s="76"/>
      <c r="M45" s="76"/>
      <c r="N45" s="76"/>
      <c r="O45" s="76"/>
      <c r="P45" s="76"/>
      <c r="Q45" s="76"/>
      <c r="R45" s="76"/>
      <c r="S45" s="76"/>
      <c r="T45" s="76"/>
      <c r="U45" s="76"/>
      <c r="V45" s="76"/>
      <c r="W45" s="76"/>
      <c r="X45" s="76"/>
      <c r="Y45" s="76"/>
      <c r="Z45" s="76"/>
    </row>
    <row r="46" ht="15.75" customHeight="1">
      <c r="A46" s="156"/>
      <c r="B46" s="156"/>
      <c r="C46" s="156"/>
      <c r="D46" s="156"/>
      <c r="E46" s="156"/>
      <c r="F46" s="156"/>
      <c r="G46" s="156"/>
      <c r="H46" s="76"/>
      <c r="I46" s="76"/>
      <c r="J46" s="76"/>
      <c r="K46" s="76"/>
      <c r="L46" s="76"/>
      <c r="M46" s="76"/>
      <c r="N46" s="76"/>
      <c r="O46" s="76"/>
      <c r="P46" s="76"/>
      <c r="Q46" s="76"/>
      <c r="R46" s="76"/>
      <c r="S46" s="76"/>
      <c r="T46" s="76"/>
      <c r="U46" s="76"/>
      <c r="V46" s="76"/>
      <c r="W46" s="76"/>
      <c r="X46" s="76"/>
      <c r="Y46" s="76"/>
      <c r="Z46" s="76"/>
    </row>
    <row r="47" ht="15.75" customHeight="1">
      <c r="A47" s="156"/>
      <c r="B47" s="156"/>
      <c r="C47" s="156"/>
      <c r="D47" s="156"/>
      <c r="E47" s="156"/>
      <c r="F47" s="156"/>
      <c r="G47" s="156"/>
      <c r="H47" s="76"/>
      <c r="I47" s="76"/>
      <c r="J47" s="76"/>
      <c r="K47" s="76"/>
      <c r="L47" s="76"/>
      <c r="M47" s="76"/>
      <c r="N47" s="76"/>
      <c r="O47" s="76"/>
      <c r="P47" s="76"/>
      <c r="Q47" s="76"/>
      <c r="R47" s="76"/>
      <c r="S47" s="76"/>
      <c r="T47" s="76"/>
      <c r="U47" s="76"/>
      <c r="V47" s="76"/>
      <c r="W47" s="76"/>
      <c r="X47" s="76"/>
      <c r="Y47" s="76"/>
      <c r="Z47" s="76"/>
    </row>
    <row r="48" ht="15.75" customHeight="1">
      <c r="A48" s="156"/>
      <c r="B48" s="156"/>
      <c r="C48" s="156"/>
      <c r="D48" s="156"/>
      <c r="E48" s="156"/>
      <c r="F48" s="156"/>
      <c r="G48" s="156"/>
      <c r="H48" s="76"/>
      <c r="I48" s="76"/>
      <c r="J48" s="76"/>
      <c r="K48" s="76"/>
      <c r="L48" s="76"/>
      <c r="M48" s="76"/>
      <c r="N48" s="76"/>
      <c r="O48" s="76"/>
      <c r="P48" s="76"/>
      <c r="Q48" s="76"/>
      <c r="R48" s="76"/>
      <c r="S48" s="76"/>
      <c r="T48" s="76"/>
      <c r="U48" s="76"/>
      <c r="V48" s="76"/>
      <c r="W48" s="76"/>
      <c r="X48" s="76"/>
      <c r="Y48" s="76"/>
      <c r="Z48" s="76"/>
    </row>
    <row r="49" ht="15.75" customHeight="1">
      <c r="A49" s="156"/>
      <c r="B49" s="156"/>
      <c r="C49" s="156"/>
      <c r="D49" s="156"/>
      <c r="E49" s="156"/>
      <c r="F49" s="156"/>
      <c r="G49" s="156"/>
      <c r="H49" s="76"/>
      <c r="I49" s="76"/>
      <c r="J49" s="76"/>
      <c r="K49" s="76"/>
      <c r="L49" s="76"/>
      <c r="M49" s="76"/>
      <c r="N49" s="76"/>
      <c r="O49" s="76"/>
      <c r="P49" s="76"/>
      <c r="Q49" s="76"/>
      <c r="R49" s="76"/>
      <c r="S49" s="76"/>
      <c r="T49" s="76"/>
      <c r="U49" s="76"/>
      <c r="V49" s="76"/>
      <c r="W49" s="76"/>
      <c r="X49" s="76"/>
      <c r="Y49" s="76"/>
      <c r="Z49" s="76"/>
    </row>
    <row r="50" ht="15.75" customHeight="1">
      <c r="A50" s="156"/>
      <c r="B50" s="156"/>
      <c r="C50" s="156"/>
      <c r="D50" s="156"/>
      <c r="E50" s="156"/>
      <c r="F50" s="156"/>
      <c r="G50" s="156"/>
      <c r="H50" s="76"/>
      <c r="I50" s="76"/>
      <c r="J50" s="76"/>
      <c r="K50" s="76"/>
      <c r="L50" s="76"/>
      <c r="M50" s="76"/>
      <c r="N50" s="76"/>
      <c r="O50" s="76"/>
      <c r="P50" s="76"/>
      <c r="Q50" s="76"/>
      <c r="R50" s="76"/>
      <c r="S50" s="76"/>
      <c r="T50" s="76"/>
      <c r="U50" s="76"/>
      <c r="V50" s="76"/>
      <c r="W50" s="76"/>
      <c r="X50" s="76"/>
      <c r="Y50" s="76"/>
      <c r="Z50" s="76"/>
    </row>
    <row r="51" ht="15.75" customHeight="1">
      <c r="A51" s="156"/>
      <c r="B51" s="156"/>
      <c r="C51" s="156"/>
      <c r="D51" s="156"/>
      <c r="E51" s="156"/>
      <c r="F51" s="156"/>
      <c r="G51" s="156"/>
      <c r="H51" s="76"/>
      <c r="I51" s="76"/>
      <c r="J51" s="76"/>
      <c r="K51" s="76"/>
      <c r="L51" s="76"/>
      <c r="M51" s="76"/>
      <c r="N51" s="76"/>
      <c r="O51" s="76"/>
      <c r="P51" s="76"/>
      <c r="Q51" s="76"/>
      <c r="R51" s="76"/>
      <c r="S51" s="76"/>
      <c r="T51" s="76"/>
      <c r="U51" s="76"/>
      <c r="V51" s="76"/>
      <c r="W51" s="76"/>
      <c r="X51" s="76"/>
      <c r="Y51" s="76"/>
      <c r="Z51" s="76"/>
    </row>
    <row r="52" ht="15.75" customHeight="1">
      <c r="A52" s="156"/>
      <c r="B52" s="156"/>
      <c r="C52" s="156"/>
      <c r="D52" s="156"/>
      <c r="E52" s="156"/>
      <c r="F52" s="156"/>
      <c r="G52" s="156"/>
      <c r="H52" s="76"/>
      <c r="I52" s="76"/>
      <c r="J52" s="76"/>
      <c r="K52" s="76"/>
      <c r="L52" s="76"/>
      <c r="M52" s="76"/>
      <c r="N52" s="76"/>
      <c r="O52" s="76"/>
      <c r="P52" s="76"/>
      <c r="Q52" s="76"/>
      <c r="R52" s="76"/>
      <c r="S52" s="76"/>
      <c r="T52" s="76"/>
      <c r="U52" s="76"/>
      <c r="V52" s="76"/>
      <c r="W52" s="76"/>
      <c r="X52" s="76"/>
      <c r="Y52" s="76"/>
      <c r="Z52" s="76"/>
    </row>
    <row r="53" ht="15.75" customHeight="1">
      <c r="A53" s="156"/>
      <c r="B53" s="156"/>
      <c r="C53" s="156"/>
      <c r="D53" s="156"/>
      <c r="E53" s="156"/>
      <c r="F53" s="156"/>
      <c r="G53" s="156"/>
      <c r="H53" s="76"/>
      <c r="I53" s="76"/>
      <c r="J53" s="76"/>
      <c r="K53" s="76"/>
      <c r="L53" s="76"/>
      <c r="M53" s="76"/>
      <c r="N53" s="76"/>
      <c r="O53" s="76"/>
      <c r="P53" s="76"/>
      <c r="Q53" s="76"/>
      <c r="R53" s="76"/>
      <c r="S53" s="76"/>
      <c r="T53" s="76"/>
      <c r="U53" s="76"/>
      <c r="V53" s="76"/>
      <c r="W53" s="76"/>
      <c r="X53" s="76"/>
      <c r="Y53" s="76"/>
      <c r="Z53" s="76"/>
    </row>
    <row r="54" ht="15.75" customHeight="1">
      <c r="A54" s="156"/>
      <c r="B54" s="156"/>
      <c r="C54" s="156"/>
      <c r="D54" s="156"/>
      <c r="E54" s="156"/>
      <c r="F54" s="156"/>
      <c r="G54" s="156"/>
      <c r="H54" s="76"/>
      <c r="I54" s="76"/>
      <c r="J54" s="76"/>
      <c r="K54" s="76"/>
      <c r="L54" s="76"/>
      <c r="M54" s="76"/>
      <c r="N54" s="76"/>
      <c r="O54" s="76"/>
      <c r="P54" s="76"/>
      <c r="Q54" s="76"/>
      <c r="R54" s="76"/>
      <c r="S54" s="76"/>
      <c r="T54" s="76"/>
      <c r="U54" s="76"/>
      <c r="V54" s="76"/>
      <c r="W54" s="76"/>
      <c r="X54" s="76"/>
      <c r="Y54" s="76"/>
      <c r="Z54" s="76"/>
    </row>
    <row r="55" ht="15.75" customHeight="1">
      <c r="A55" s="156"/>
      <c r="B55" s="156"/>
      <c r="C55" s="156"/>
      <c r="D55" s="156"/>
      <c r="E55" s="156"/>
      <c r="F55" s="156"/>
      <c r="G55" s="156"/>
      <c r="H55" s="76"/>
      <c r="I55" s="76"/>
      <c r="J55" s="76"/>
      <c r="K55" s="76"/>
      <c r="L55" s="76"/>
      <c r="M55" s="76"/>
      <c r="N55" s="76"/>
      <c r="O55" s="76"/>
      <c r="P55" s="76"/>
      <c r="Q55" s="76"/>
      <c r="R55" s="76"/>
      <c r="S55" s="76"/>
      <c r="T55" s="76"/>
      <c r="U55" s="76"/>
      <c r="V55" s="76"/>
      <c r="W55" s="76"/>
      <c r="X55" s="76"/>
      <c r="Y55" s="76"/>
      <c r="Z55" s="76"/>
    </row>
    <row r="56" ht="15.75" customHeight="1">
      <c r="A56" s="156"/>
      <c r="B56" s="156"/>
      <c r="C56" s="156"/>
      <c r="D56" s="156"/>
      <c r="E56" s="156"/>
      <c r="F56" s="156"/>
      <c r="G56" s="156"/>
      <c r="H56" s="76"/>
      <c r="I56" s="76"/>
      <c r="J56" s="76"/>
      <c r="K56" s="76"/>
      <c r="L56" s="76"/>
      <c r="M56" s="76"/>
      <c r="N56" s="76"/>
      <c r="O56" s="76"/>
      <c r="P56" s="76"/>
      <c r="Q56" s="76"/>
      <c r="R56" s="76"/>
      <c r="S56" s="76"/>
      <c r="T56" s="76"/>
      <c r="U56" s="76"/>
      <c r="V56" s="76"/>
      <c r="W56" s="76"/>
      <c r="X56" s="76"/>
      <c r="Y56" s="76"/>
      <c r="Z56" s="76"/>
    </row>
    <row r="57" ht="15.75" customHeight="1">
      <c r="A57" s="156"/>
      <c r="B57" s="156"/>
      <c r="C57" s="156"/>
      <c r="D57" s="156"/>
      <c r="E57" s="156"/>
      <c r="F57" s="156"/>
      <c r="G57" s="156"/>
      <c r="H57" s="76"/>
      <c r="I57" s="76"/>
      <c r="J57" s="76"/>
      <c r="K57" s="76"/>
      <c r="L57" s="76"/>
      <c r="M57" s="76"/>
      <c r="N57" s="76"/>
      <c r="O57" s="76"/>
      <c r="P57" s="76"/>
      <c r="Q57" s="76"/>
      <c r="R57" s="76"/>
      <c r="S57" s="76"/>
      <c r="T57" s="76"/>
      <c r="U57" s="76"/>
      <c r="V57" s="76"/>
      <c r="W57" s="76"/>
      <c r="X57" s="76"/>
      <c r="Y57" s="76"/>
      <c r="Z57" s="76"/>
    </row>
    <row r="58" ht="15.75" customHeight="1">
      <c r="A58" s="156"/>
      <c r="B58" s="156"/>
      <c r="C58" s="156"/>
      <c r="D58" s="156"/>
      <c r="E58" s="156"/>
      <c r="F58" s="156"/>
      <c r="G58" s="156"/>
      <c r="H58" s="76"/>
      <c r="I58" s="76"/>
      <c r="J58" s="76"/>
      <c r="K58" s="76"/>
      <c r="L58" s="76"/>
      <c r="M58" s="76"/>
      <c r="N58" s="76"/>
      <c r="O58" s="76"/>
      <c r="P58" s="76"/>
      <c r="Q58" s="76"/>
      <c r="R58" s="76"/>
      <c r="S58" s="76"/>
      <c r="T58" s="76"/>
      <c r="U58" s="76"/>
      <c r="V58" s="76"/>
      <c r="W58" s="76"/>
      <c r="X58" s="76"/>
      <c r="Y58" s="76"/>
      <c r="Z58" s="76"/>
    </row>
    <row r="59" ht="15.75" customHeight="1">
      <c r="A59" s="156"/>
      <c r="B59" s="156"/>
      <c r="C59" s="156"/>
      <c r="D59" s="156"/>
      <c r="E59" s="156"/>
      <c r="F59" s="156"/>
      <c r="G59" s="156"/>
      <c r="H59" s="76"/>
      <c r="I59" s="76"/>
      <c r="J59" s="76"/>
      <c r="K59" s="76"/>
      <c r="L59" s="76"/>
      <c r="M59" s="76"/>
      <c r="N59" s="76"/>
      <c r="O59" s="76"/>
      <c r="P59" s="76"/>
      <c r="Q59" s="76"/>
      <c r="R59" s="76"/>
      <c r="S59" s="76"/>
      <c r="T59" s="76"/>
      <c r="U59" s="76"/>
      <c r="V59" s="76"/>
      <c r="W59" s="76"/>
      <c r="X59" s="76"/>
      <c r="Y59" s="76"/>
      <c r="Z59" s="76"/>
    </row>
    <row r="60" ht="15.75" customHeight="1">
      <c r="A60" s="156"/>
      <c r="B60" s="156"/>
      <c r="C60" s="156"/>
      <c r="D60" s="156"/>
      <c r="E60" s="156"/>
      <c r="F60" s="156"/>
      <c r="G60" s="156"/>
      <c r="H60" s="76"/>
      <c r="I60" s="76"/>
      <c r="J60" s="76"/>
      <c r="K60" s="76"/>
      <c r="L60" s="76"/>
      <c r="M60" s="76"/>
      <c r="N60" s="76"/>
      <c r="O60" s="76"/>
      <c r="P60" s="76"/>
      <c r="Q60" s="76"/>
      <c r="R60" s="76"/>
      <c r="S60" s="76"/>
      <c r="T60" s="76"/>
      <c r="U60" s="76"/>
      <c r="V60" s="76"/>
      <c r="W60" s="76"/>
      <c r="X60" s="76"/>
      <c r="Y60" s="76"/>
      <c r="Z60" s="76"/>
    </row>
    <row r="61" ht="15.75" customHeight="1">
      <c r="A61" s="156"/>
      <c r="B61" s="156"/>
      <c r="C61" s="156"/>
      <c r="D61" s="156"/>
      <c r="E61" s="156"/>
      <c r="F61" s="156"/>
      <c r="G61" s="156"/>
      <c r="H61" s="76"/>
      <c r="I61" s="76"/>
      <c r="J61" s="76"/>
      <c r="K61" s="76"/>
      <c r="L61" s="76"/>
      <c r="M61" s="76"/>
      <c r="N61" s="76"/>
      <c r="O61" s="76"/>
      <c r="P61" s="76"/>
      <c r="Q61" s="76"/>
      <c r="R61" s="76"/>
      <c r="S61" s="76"/>
      <c r="T61" s="76"/>
      <c r="U61" s="76"/>
      <c r="V61" s="76"/>
      <c r="W61" s="76"/>
      <c r="X61" s="76"/>
      <c r="Y61" s="76"/>
      <c r="Z61" s="76"/>
    </row>
    <row r="62" ht="15.75" customHeight="1">
      <c r="A62" s="156"/>
      <c r="B62" s="156"/>
      <c r="C62" s="156"/>
      <c r="D62" s="156"/>
      <c r="E62" s="156"/>
      <c r="F62" s="156"/>
      <c r="G62" s="156"/>
      <c r="H62" s="76"/>
      <c r="I62" s="76"/>
      <c r="J62" s="76"/>
      <c r="K62" s="76"/>
      <c r="L62" s="76"/>
      <c r="M62" s="76"/>
      <c r="N62" s="76"/>
      <c r="O62" s="76"/>
      <c r="P62" s="76"/>
      <c r="Q62" s="76"/>
      <c r="R62" s="76"/>
      <c r="S62" s="76"/>
      <c r="T62" s="76"/>
      <c r="U62" s="76"/>
      <c r="V62" s="76"/>
      <c r="W62" s="76"/>
      <c r="X62" s="76"/>
      <c r="Y62" s="76"/>
      <c r="Z62" s="76"/>
    </row>
    <row r="63" ht="15.75" customHeight="1">
      <c r="A63" s="156"/>
      <c r="B63" s="156"/>
      <c r="C63" s="156"/>
      <c r="D63" s="156"/>
      <c r="E63" s="156"/>
      <c r="F63" s="156"/>
      <c r="G63" s="156"/>
      <c r="H63" s="76"/>
      <c r="I63" s="76"/>
      <c r="J63" s="76"/>
      <c r="K63" s="76"/>
      <c r="L63" s="76"/>
      <c r="M63" s="76"/>
      <c r="N63" s="76"/>
      <c r="O63" s="76"/>
      <c r="P63" s="76"/>
      <c r="Q63" s="76"/>
      <c r="R63" s="76"/>
      <c r="S63" s="76"/>
      <c r="T63" s="76"/>
      <c r="U63" s="76"/>
      <c r="V63" s="76"/>
      <c r="W63" s="76"/>
      <c r="X63" s="76"/>
      <c r="Y63" s="76"/>
      <c r="Z63" s="76"/>
    </row>
    <row r="64" ht="15.75" customHeight="1">
      <c r="A64" s="156"/>
      <c r="B64" s="156"/>
      <c r="C64" s="156"/>
      <c r="D64" s="156"/>
      <c r="E64" s="156"/>
      <c r="F64" s="156"/>
      <c r="G64" s="156"/>
      <c r="H64" s="76"/>
      <c r="I64" s="76"/>
      <c r="J64" s="76"/>
      <c r="K64" s="76"/>
      <c r="L64" s="76"/>
      <c r="M64" s="76"/>
      <c r="N64" s="76"/>
      <c r="O64" s="76"/>
      <c r="P64" s="76"/>
      <c r="Q64" s="76"/>
      <c r="R64" s="76"/>
      <c r="S64" s="76"/>
      <c r="T64" s="76"/>
      <c r="U64" s="76"/>
      <c r="V64" s="76"/>
      <c r="W64" s="76"/>
      <c r="X64" s="76"/>
      <c r="Y64" s="76"/>
      <c r="Z64" s="76"/>
    </row>
    <row r="65" ht="15.75" customHeight="1">
      <c r="A65" s="156"/>
      <c r="B65" s="156"/>
      <c r="C65" s="156"/>
      <c r="D65" s="156"/>
      <c r="E65" s="156"/>
      <c r="F65" s="156"/>
      <c r="G65" s="156"/>
      <c r="H65" s="76"/>
      <c r="I65" s="76"/>
      <c r="J65" s="76"/>
      <c r="K65" s="76"/>
      <c r="L65" s="76"/>
      <c r="M65" s="76"/>
      <c r="N65" s="76"/>
      <c r="O65" s="76"/>
      <c r="P65" s="76"/>
      <c r="Q65" s="76"/>
      <c r="R65" s="76"/>
      <c r="S65" s="76"/>
      <c r="T65" s="76"/>
      <c r="U65" s="76"/>
      <c r="V65" s="76"/>
      <c r="W65" s="76"/>
      <c r="X65" s="76"/>
      <c r="Y65" s="76"/>
      <c r="Z65" s="76"/>
    </row>
    <row r="66" ht="15.75" customHeight="1">
      <c r="A66" s="156"/>
      <c r="B66" s="156"/>
      <c r="C66" s="156"/>
      <c r="D66" s="156"/>
      <c r="E66" s="156"/>
      <c r="F66" s="156"/>
      <c r="G66" s="156"/>
      <c r="H66" s="76"/>
      <c r="I66" s="76"/>
      <c r="J66" s="76"/>
      <c r="K66" s="76"/>
      <c r="L66" s="76"/>
      <c r="M66" s="76"/>
      <c r="N66" s="76"/>
      <c r="O66" s="76"/>
      <c r="P66" s="76"/>
      <c r="Q66" s="76"/>
      <c r="R66" s="76"/>
      <c r="S66" s="76"/>
      <c r="T66" s="76"/>
      <c r="U66" s="76"/>
      <c r="V66" s="76"/>
      <c r="W66" s="76"/>
      <c r="X66" s="76"/>
      <c r="Y66" s="76"/>
      <c r="Z66" s="76"/>
    </row>
    <row r="67" ht="15.75" customHeight="1">
      <c r="A67" s="156"/>
      <c r="B67" s="156"/>
      <c r="C67" s="156"/>
      <c r="D67" s="156"/>
      <c r="E67" s="156"/>
      <c r="F67" s="156"/>
      <c r="G67" s="156"/>
      <c r="H67" s="76"/>
      <c r="I67" s="76"/>
      <c r="J67" s="76"/>
      <c r="K67" s="76"/>
      <c r="L67" s="76"/>
      <c r="M67" s="76"/>
      <c r="N67" s="76"/>
      <c r="O67" s="76"/>
      <c r="P67" s="76"/>
      <c r="Q67" s="76"/>
      <c r="R67" s="76"/>
      <c r="S67" s="76"/>
      <c r="T67" s="76"/>
      <c r="U67" s="76"/>
      <c r="V67" s="76"/>
      <c r="W67" s="76"/>
      <c r="X67" s="76"/>
      <c r="Y67" s="76"/>
      <c r="Z67" s="76"/>
    </row>
    <row r="68" ht="15.75" customHeight="1">
      <c r="A68" s="156"/>
      <c r="B68" s="156"/>
      <c r="C68" s="156"/>
      <c r="D68" s="156"/>
      <c r="E68" s="156"/>
      <c r="F68" s="156"/>
      <c r="G68" s="156"/>
      <c r="H68" s="76"/>
      <c r="I68" s="76"/>
      <c r="J68" s="76"/>
      <c r="K68" s="76"/>
      <c r="L68" s="76"/>
      <c r="M68" s="76"/>
      <c r="N68" s="76"/>
      <c r="O68" s="76"/>
      <c r="P68" s="76"/>
      <c r="Q68" s="76"/>
      <c r="R68" s="76"/>
      <c r="S68" s="76"/>
      <c r="T68" s="76"/>
      <c r="U68" s="76"/>
      <c r="V68" s="76"/>
      <c r="W68" s="76"/>
      <c r="X68" s="76"/>
      <c r="Y68" s="76"/>
      <c r="Z68" s="76"/>
    </row>
    <row r="69" ht="15.75" customHeight="1">
      <c r="A69" s="156"/>
      <c r="B69" s="156"/>
      <c r="C69" s="156"/>
      <c r="D69" s="156"/>
      <c r="E69" s="156"/>
      <c r="F69" s="156"/>
      <c r="G69" s="156"/>
      <c r="H69" s="76"/>
      <c r="I69" s="76"/>
      <c r="J69" s="76"/>
      <c r="K69" s="76"/>
      <c r="L69" s="76"/>
      <c r="M69" s="76"/>
      <c r="N69" s="76"/>
      <c r="O69" s="76"/>
      <c r="P69" s="76"/>
      <c r="Q69" s="76"/>
      <c r="R69" s="76"/>
      <c r="S69" s="76"/>
      <c r="T69" s="76"/>
      <c r="U69" s="76"/>
      <c r="V69" s="76"/>
      <c r="W69" s="76"/>
      <c r="X69" s="76"/>
      <c r="Y69" s="76"/>
      <c r="Z69" s="76"/>
    </row>
    <row r="70" ht="15.75" customHeight="1">
      <c r="A70" s="156"/>
      <c r="B70" s="156"/>
      <c r="C70" s="156"/>
      <c r="D70" s="156"/>
      <c r="E70" s="156"/>
      <c r="F70" s="156"/>
      <c r="G70" s="156"/>
      <c r="H70" s="76"/>
      <c r="I70" s="76"/>
      <c r="J70" s="76"/>
      <c r="K70" s="76"/>
      <c r="L70" s="76"/>
      <c r="M70" s="76"/>
      <c r="N70" s="76"/>
      <c r="O70" s="76"/>
      <c r="P70" s="76"/>
      <c r="Q70" s="76"/>
      <c r="R70" s="76"/>
      <c r="S70" s="76"/>
      <c r="T70" s="76"/>
      <c r="U70" s="76"/>
      <c r="V70" s="76"/>
      <c r="W70" s="76"/>
      <c r="X70" s="76"/>
      <c r="Y70" s="76"/>
      <c r="Z70" s="76"/>
    </row>
    <row r="71" ht="15.75" customHeight="1">
      <c r="A71" s="156"/>
      <c r="B71" s="156"/>
      <c r="C71" s="156"/>
      <c r="D71" s="156"/>
      <c r="E71" s="156"/>
      <c r="F71" s="156"/>
      <c r="G71" s="156"/>
      <c r="H71" s="76"/>
      <c r="I71" s="76"/>
      <c r="J71" s="76"/>
      <c r="K71" s="76"/>
      <c r="L71" s="76"/>
      <c r="M71" s="76"/>
      <c r="N71" s="76"/>
      <c r="O71" s="76"/>
      <c r="P71" s="76"/>
      <c r="Q71" s="76"/>
      <c r="R71" s="76"/>
      <c r="S71" s="76"/>
      <c r="T71" s="76"/>
      <c r="U71" s="76"/>
      <c r="V71" s="76"/>
      <c r="W71" s="76"/>
      <c r="X71" s="76"/>
      <c r="Y71" s="76"/>
      <c r="Z71" s="76"/>
    </row>
    <row r="72" ht="15.75" customHeight="1">
      <c r="A72" s="156"/>
      <c r="B72" s="156"/>
      <c r="C72" s="156"/>
      <c r="D72" s="156"/>
      <c r="E72" s="156"/>
      <c r="F72" s="156"/>
      <c r="G72" s="156"/>
      <c r="H72" s="76"/>
      <c r="I72" s="76"/>
      <c r="J72" s="76"/>
      <c r="K72" s="76"/>
      <c r="L72" s="76"/>
      <c r="M72" s="76"/>
      <c r="N72" s="76"/>
      <c r="O72" s="76"/>
      <c r="P72" s="76"/>
      <c r="Q72" s="76"/>
      <c r="R72" s="76"/>
      <c r="S72" s="76"/>
      <c r="T72" s="76"/>
      <c r="U72" s="76"/>
      <c r="V72" s="76"/>
      <c r="W72" s="76"/>
      <c r="X72" s="76"/>
      <c r="Y72" s="76"/>
      <c r="Z72" s="76"/>
    </row>
    <row r="73" ht="15.75" customHeight="1">
      <c r="A73" s="156"/>
      <c r="B73" s="156"/>
      <c r="C73" s="156"/>
      <c r="D73" s="156"/>
      <c r="E73" s="156"/>
      <c r="F73" s="156"/>
      <c r="G73" s="156"/>
      <c r="H73" s="76"/>
      <c r="I73" s="76"/>
      <c r="J73" s="76"/>
      <c r="K73" s="76"/>
      <c r="L73" s="76"/>
      <c r="M73" s="76"/>
      <c r="N73" s="76"/>
      <c r="O73" s="76"/>
      <c r="P73" s="76"/>
      <c r="Q73" s="76"/>
      <c r="R73" s="76"/>
      <c r="S73" s="76"/>
      <c r="T73" s="76"/>
      <c r="U73" s="76"/>
      <c r="V73" s="76"/>
      <c r="W73" s="76"/>
      <c r="X73" s="76"/>
      <c r="Y73" s="76"/>
      <c r="Z73" s="76"/>
    </row>
    <row r="74" ht="15.75" customHeight="1">
      <c r="A74" s="156"/>
      <c r="B74" s="156"/>
      <c r="C74" s="156"/>
      <c r="D74" s="156"/>
      <c r="E74" s="156"/>
      <c r="F74" s="156"/>
      <c r="G74" s="156"/>
      <c r="H74" s="76"/>
      <c r="I74" s="76"/>
      <c r="J74" s="76"/>
      <c r="K74" s="76"/>
      <c r="L74" s="76"/>
      <c r="M74" s="76"/>
      <c r="N74" s="76"/>
      <c r="O74" s="76"/>
      <c r="P74" s="76"/>
      <c r="Q74" s="76"/>
      <c r="R74" s="76"/>
      <c r="S74" s="76"/>
      <c r="T74" s="76"/>
      <c r="U74" s="76"/>
      <c r="V74" s="76"/>
      <c r="W74" s="76"/>
      <c r="X74" s="76"/>
      <c r="Y74" s="76"/>
      <c r="Z74" s="76"/>
    </row>
    <row r="75" ht="15.75" customHeight="1">
      <c r="A75" s="156"/>
      <c r="B75" s="156"/>
      <c r="C75" s="156"/>
      <c r="D75" s="156"/>
      <c r="E75" s="156"/>
      <c r="F75" s="156"/>
      <c r="G75" s="156"/>
      <c r="H75" s="76"/>
      <c r="I75" s="76"/>
      <c r="J75" s="76"/>
      <c r="K75" s="76"/>
      <c r="L75" s="76"/>
      <c r="M75" s="76"/>
      <c r="N75" s="76"/>
      <c r="O75" s="76"/>
      <c r="P75" s="76"/>
      <c r="Q75" s="76"/>
      <c r="R75" s="76"/>
      <c r="S75" s="76"/>
      <c r="T75" s="76"/>
      <c r="U75" s="76"/>
      <c r="V75" s="76"/>
      <c r="W75" s="76"/>
      <c r="X75" s="76"/>
      <c r="Y75" s="76"/>
      <c r="Z75" s="76"/>
    </row>
    <row r="76" ht="15.75" customHeight="1">
      <c r="A76" s="156"/>
      <c r="B76" s="156"/>
      <c r="C76" s="156"/>
      <c r="D76" s="156"/>
      <c r="E76" s="156"/>
      <c r="F76" s="156"/>
      <c r="G76" s="156"/>
      <c r="H76" s="76"/>
      <c r="I76" s="76"/>
      <c r="J76" s="76"/>
      <c r="K76" s="76"/>
      <c r="L76" s="76"/>
      <c r="M76" s="76"/>
      <c r="N76" s="76"/>
      <c r="O76" s="76"/>
      <c r="P76" s="76"/>
      <c r="Q76" s="76"/>
      <c r="R76" s="76"/>
      <c r="S76" s="76"/>
      <c r="T76" s="76"/>
      <c r="U76" s="76"/>
      <c r="V76" s="76"/>
      <c r="W76" s="76"/>
      <c r="X76" s="76"/>
      <c r="Y76" s="76"/>
      <c r="Z76" s="76"/>
    </row>
    <row r="77" ht="15.75" customHeight="1">
      <c r="A77" s="156"/>
      <c r="B77" s="156"/>
      <c r="C77" s="156"/>
      <c r="D77" s="156"/>
      <c r="E77" s="156"/>
      <c r="F77" s="156"/>
      <c r="G77" s="156"/>
      <c r="H77" s="76"/>
      <c r="I77" s="76"/>
      <c r="J77" s="76"/>
      <c r="K77" s="76"/>
      <c r="L77" s="76"/>
      <c r="M77" s="76"/>
      <c r="N77" s="76"/>
      <c r="O77" s="76"/>
      <c r="P77" s="76"/>
      <c r="Q77" s="76"/>
      <c r="R77" s="76"/>
      <c r="S77" s="76"/>
      <c r="T77" s="76"/>
      <c r="U77" s="76"/>
      <c r="V77" s="76"/>
      <c r="W77" s="76"/>
      <c r="X77" s="76"/>
      <c r="Y77" s="76"/>
      <c r="Z77" s="76"/>
    </row>
    <row r="78" ht="15.75" customHeight="1">
      <c r="A78" s="156"/>
      <c r="B78" s="156"/>
      <c r="C78" s="156"/>
      <c r="D78" s="156"/>
      <c r="E78" s="156"/>
      <c r="F78" s="156"/>
      <c r="G78" s="156"/>
      <c r="H78" s="76"/>
      <c r="I78" s="76"/>
      <c r="J78" s="76"/>
      <c r="K78" s="76"/>
      <c r="L78" s="76"/>
      <c r="M78" s="76"/>
      <c r="N78" s="76"/>
      <c r="O78" s="76"/>
      <c r="P78" s="76"/>
      <c r="Q78" s="76"/>
      <c r="R78" s="76"/>
      <c r="S78" s="76"/>
      <c r="T78" s="76"/>
      <c r="U78" s="76"/>
      <c r="V78" s="76"/>
      <c r="W78" s="76"/>
      <c r="X78" s="76"/>
      <c r="Y78" s="76"/>
      <c r="Z78" s="76"/>
    </row>
    <row r="79" ht="15.75" customHeight="1">
      <c r="A79" s="156"/>
      <c r="B79" s="156"/>
      <c r="C79" s="156"/>
      <c r="D79" s="156"/>
      <c r="E79" s="156"/>
      <c r="F79" s="156"/>
      <c r="G79" s="156"/>
      <c r="H79" s="76"/>
      <c r="I79" s="76"/>
      <c r="J79" s="76"/>
      <c r="K79" s="76"/>
      <c r="L79" s="76"/>
      <c r="M79" s="76"/>
      <c r="N79" s="76"/>
      <c r="O79" s="76"/>
      <c r="P79" s="76"/>
      <c r="Q79" s="76"/>
      <c r="R79" s="76"/>
      <c r="S79" s="76"/>
      <c r="T79" s="76"/>
      <c r="U79" s="76"/>
      <c r="V79" s="76"/>
      <c r="W79" s="76"/>
      <c r="X79" s="76"/>
      <c r="Y79" s="76"/>
      <c r="Z79" s="76"/>
    </row>
    <row r="80" ht="15.75" customHeight="1">
      <c r="A80" s="156"/>
      <c r="B80" s="156"/>
      <c r="C80" s="156"/>
      <c r="D80" s="156"/>
      <c r="E80" s="156"/>
      <c r="F80" s="156"/>
      <c r="G80" s="156"/>
      <c r="H80" s="76"/>
      <c r="I80" s="76"/>
      <c r="J80" s="76"/>
      <c r="K80" s="76"/>
      <c r="L80" s="76"/>
      <c r="M80" s="76"/>
      <c r="N80" s="76"/>
      <c r="O80" s="76"/>
      <c r="P80" s="76"/>
      <c r="Q80" s="76"/>
      <c r="R80" s="76"/>
      <c r="S80" s="76"/>
      <c r="T80" s="76"/>
      <c r="U80" s="76"/>
      <c r="V80" s="76"/>
      <c r="W80" s="76"/>
      <c r="X80" s="76"/>
      <c r="Y80" s="76"/>
      <c r="Z80" s="76"/>
    </row>
    <row r="81" ht="15.75" customHeight="1">
      <c r="A81" s="156"/>
      <c r="B81" s="156"/>
      <c r="C81" s="156"/>
      <c r="D81" s="156"/>
      <c r="E81" s="156"/>
      <c r="F81" s="156"/>
      <c r="G81" s="156"/>
      <c r="H81" s="76"/>
      <c r="I81" s="76"/>
      <c r="J81" s="76"/>
      <c r="K81" s="76"/>
      <c r="L81" s="76"/>
      <c r="M81" s="76"/>
      <c r="N81" s="76"/>
      <c r="O81" s="76"/>
      <c r="P81" s="76"/>
      <c r="Q81" s="76"/>
      <c r="R81" s="76"/>
      <c r="S81" s="76"/>
      <c r="T81" s="76"/>
      <c r="U81" s="76"/>
      <c r="V81" s="76"/>
      <c r="W81" s="76"/>
      <c r="X81" s="76"/>
      <c r="Y81" s="76"/>
      <c r="Z81" s="76"/>
    </row>
    <row r="82" ht="15.75" customHeight="1">
      <c r="A82" s="156"/>
      <c r="B82" s="156"/>
      <c r="C82" s="156"/>
      <c r="D82" s="156"/>
      <c r="E82" s="156"/>
      <c r="F82" s="156"/>
      <c r="G82" s="156"/>
      <c r="H82" s="76"/>
      <c r="I82" s="76"/>
      <c r="J82" s="76"/>
      <c r="K82" s="76"/>
      <c r="L82" s="76"/>
      <c r="M82" s="76"/>
      <c r="N82" s="76"/>
      <c r="O82" s="76"/>
      <c r="P82" s="76"/>
      <c r="Q82" s="76"/>
      <c r="R82" s="76"/>
      <c r="S82" s="76"/>
      <c r="T82" s="76"/>
      <c r="U82" s="76"/>
      <c r="V82" s="76"/>
      <c r="W82" s="76"/>
      <c r="X82" s="76"/>
      <c r="Y82" s="76"/>
      <c r="Z82" s="76"/>
    </row>
    <row r="83" ht="15.75" customHeight="1">
      <c r="A83" s="156"/>
      <c r="B83" s="156"/>
      <c r="C83" s="156"/>
      <c r="D83" s="156"/>
      <c r="E83" s="156"/>
      <c r="F83" s="156"/>
      <c r="G83" s="156"/>
      <c r="H83" s="76"/>
      <c r="I83" s="76"/>
      <c r="J83" s="76"/>
      <c r="K83" s="76"/>
      <c r="L83" s="76"/>
      <c r="M83" s="76"/>
      <c r="N83" s="76"/>
      <c r="O83" s="76"/>
      <c r="P83" s="76"/>
      <c r="Q83" s="76"/>
      <c r="R83" s="76"/>
      <c r="S83" s="76"/>
      <c r="T83" s="76"/>
      <c r="U83" s="76"/>
      <c r="V83" s="76"/>
      <c r="W83" s="76"/>
      <c r="X83" s="76"/>
      <c r="Y83" s="76"/>
      <c r="Z83" s="76"/>
    </row>
    <row r="84" ht="15.75" customHeight="1">
      <c r="A84" s="156"/>
      <c r="B84" s="156"/>
      <c r="C84" s="156"/>
      <c r="D84" s="156"/>
      <c r="E84" s="156"/>
      <c r="F84" s="156"/>
      <c r="G84" s="156"/>
      <c r="H84" s="76"/>
      <c r="I84" s="76"/>
      <c r="J84" s="76"/>
      <c r="K84" s="76"/>
      <c r="L84" s="76"/>
      <c r="M84" s="76"/>
      <c r="N84" s="76"/>
      <c r="O84" s="76"/>
      <c r="P84" s="76"/>
      <c r="Q84" s="76"/>
      <c r="R84" s="76"/>
      <c r="S84" s="76"/>
      <c r="T84" s="76"/>
      <c r="U84" s="76"/>
      <c r="V84" s="76"/>
      <c r="W84" s="76"/>
      <c r="X84" s="76"/>
      <c r="Y84" s="76"/>
      <c r="Z84" s="76"/>
    </row>
    <row r="85" ht="15.75" customHeight="1">
      <c r="A85" s="156"/>
      <c r="B85" s="156"/>
      <c r="C85" s="156"/>
      <c r="D85" s="156"/>
      <c r="E85" s="156"/>
      <c r="F85" s="156"/>
      <c r="G85" s="156"/>
      <c r="H85" s="76"/>
      <c r="I85" s="76"/>
      <c r="J85" s="76"/>
      <c r="K85" s="76"/>
      <c r="L85" s="76"/>
      <c r="M85" s="76"/>
      <c r="N85" s="76"/>
      <c r="O85" s="76"/>
      <c r="P85" s="76"/>
      <c r="Q85" s="76"/>
      <c r="R85" s="76"/>
      <c r="S85" s="76"/>
      <c r="T85" s="76"/>
      <c r="U85" s="76"/>
      <c r="V85" s="76"/>
      <c r="W85" s="76"/>
      <c r="X85" s="76"/>
      <c r="Y85" s="76"/>
      <c r="Z85" s="76"/>
    </row>
    <row r="86" ht="15.75" customHeight="1">
      <c r="A86" s="156"/>
      <c r="B86" s="156"/>
      <c r="C86" s="156"/>
      <c r="D86" s="156"/>
      <c r="E86" s="156"/>
      <c r="F86" s="156"/>
      <c r="G86" s="156"/>
      <c r="H86" s="76"/>
      <c r="I86" s="76"/>
      <c r="J86" s="76"/>
      <c r="K86" s="76"/>
      <c r="L86" s="76"/>
      <c r="M86" s="76"/>
      <c r="N86" s="76"/>
      <c r="O86" s="76"/>
      <c r="P86" s="76"/>
      <c r="Q86" s="76"/>
      <c r="R86" s="76"/>
      <c r="S86" s="76"/>
      <c r="T86" s="76"/>
      <c r="U86" s="76"/>
      <c r="V86" s="76"/>
      <c r="W86" s="76"/>
      <c r="X86" s="76"/>
      <c r="Y86" s="76"/>
      <c r="Z86" s="76"/>
    </row>
    <row r="87" ht="15.75" customHeight="1">
      <c r="A87" s="156"/>
      <c r="B87" s="156"/>
      <c r="C87" s="156"/>
      <c r="D87" s="156"/>
      <c r="E87" s="156"/>
      <c r="F87" s="156"/>
      <c r="G87" s="156"/>
      <c r="H87" s="76"/>
      <c r="I87" s="76"/>
      <c r="J87" s="76"/>
      <c r="K87" s="76"/>
      <c r="L87" s="76"/>
      <c r="M87" s="76"/>
      <c r="N87" s="76"/>
      <c r="O87" s="76"/>
      <c r="P87" s="76"/>
      <c r="Q87" s="76"/>
      <c r="R87" s="76"/>
      <c r="S87" s="76"/>
      <c r="T87" s="76"/>
      <c r="U87" s="76"/>
      <c r="V87" s="76"/>
      <c r="W87" s="76"/>
      <c r="X87" s="76"/>
      <c r="Y87" s="76"/>
      <c r="Z87" s="76"/>
    </row>
    <row r="88" ht="15.75" customHeight="1">
      <c r="A88" s="156"/>
      <c r="B88" s="156"/>
      <c r="C88" s="156"/>
      <c r="D88" s="156"/>
      <c r="E88" s="156"/>
      <c r="F88" s="156"/>
      <c r="G88" s="156"/>
      <c r="H88" s="76"/>
      <c r="I88" s="76"/>
      <c r="J88" s="76"/>
      <c r="K88" s="76"/>
      <c r="L88" s="76"/>
      <c r="M88" s="76"/>
      <c r="N88" s="76"/>
      <c r="O88" s="76"/>
      <c r="P88" s="76"/>
      <c r="Q88" s="76"/>
      <c r="R88" s="76"/>
      <c r="S88" s="76"/>
      <c r="T88" s="76"/>
      <c r="U88" s="76"/>
      <c r="V88" s="76"/>
      <c r="W88" s="76"/>
      <c r="X88" s="76"/>
      <c r="Y88" s="76"/>
      <c r="Z88" s="76"/>
    </row>
    <row r="89" ht="15.75" customHeight="1">
      <c r="A89" s="156"/>
      <c r="B89" s="156"/>
      <c r="C89" s="156"/>
      <c r="D89" s="156"/>
      <c r="E89" s="156"/>
      <c r="F89" s="156"/>
      <c r="G89" s="156"/>
      <c r="H89" s="76"/>
      <c r="I89" s="76"/>
      <c r="J89" s="76"/>
      <c r="K89" s="76"/>
      <c r="L89" s="76"/>
      <c r="M89" s="76"/>
      <c r="N89" s="76"/>
      <c r="O89" s="76"/>
      <c r="P89" s="76"/>
      <c r="Q89" s="76"/>
      <c r="R89" s="76"/>
      <c r="S89" s="76"/>
      <c r="T89" s="76"/>
      <c r="U89" s="76"/>
      <c r="V89" s="76"/>
      <c r="W89" s="76"/>
      <c r="X89" s="76"/>
      <c r="Y89" s="76"/>
      <c r="Z89" s="76"/>
    </row>
    <row r="90" ht="15.75" customHeight="1">
      <c r="A90" s="156"/>
      <c r="B90" s="156"/>
      <c r="C90" s="156"/>
      <c r="D90" s="156"/>
      <c r="E90" s="156"/>
      <c r="F90" s="156"/>
      <c r="G90" s="156"/>
      <c r="H90" s="76"/>
      <c r="I90" s="76"/>
      <c r="J90" s="76"/>
      <c r="K90" s="76"/>
      <c r="L90" s="76"/>
      <c r="M90" s="76"/>
      <c r="N90" s="76"/>
      <c r="O90" s="76"/>
      <c r="P90" s="76"/>
      <c r="Q90" s="76"/>
      <c r="R90" s="76"/>
      <c r="S90" s="76"/>
      <c r="T90" s="76"/>
      <c r="U90" s="76"/>
      <c r="V90" s="76"/>
      <c r="W90" s="76"/>
      <c r="X90" s="76"/>
      <c r="Y90" s="76"/>
      <c r="Z90" s="76"/>
    </row>
    <row r="91" ht="15.75" customHeight="1">
      <c r="A91" s="156"/>
      <c r="B91" s="156"/>
      <c r="C91" s="156"/>
      <c r="D91" s="156"/>
      <c r="E91" s="156"/>
      <c r="F91" s="156"/>
      <c r="G91" s="156"/>
      <c r="H91" s="76"/>
      <c r="I91" s="76"/>
      <c r="J91" s="76"/>
      <c r="K91" s="76"/>
      <c r="L91" s="76"/>
      <c r="M91" s="76"/>
      <c r="N91" s="76"/>
      <c r="O91" s="76"/>
      <c r="P91" s="76"/>
      <c r="Q91" s="76"/>
      <c r="R91" s="76"/>
      <c r="S91" s="76"/>
      <c r="T91" s="76"/>
      <c r="U91" s="76"/>
      <c r="V91" s="76"/>
      <c r="W91" s="76"/>
      <c r="X91" s="76"/>
      <c r="Y91" s="76"/>
      <c r="Z91" s="76"/>
    </row>
    <row r="92" ht="15.75" customHeight="1">
      <c r="A92" s="156"/>
      <c r="B92" s="156"/>
      <c r="C92" s="156"/>
      <c r="D92" s="156"/>
      <c r="E92" s="156"/>
      <c r="F92" s="156"/>
      <c r="G92" s="156"/>
      <c r="H92" s="76"/>
      <c r="I92" s="76"/>
      <c r="J92" s="76"/>
      <c r="K92" s="76"/>
      <c r="L92" s="76"/>
      <c r="M92" s="76"/>
      <c r="N92" s="76"/>
      <c r="O92" s="76"/>
      <c r="P92" s="76"/>
      <c r="Q92" s="76"/>
      <c r="R92" s="76"/>
      <c r="S92" s="76"/>
      <c r="T92" s="76"/>
      <c r="U92" s="76"/>
      <c r="V92" s="76"/>
      <c r="W92" s="76"/>
      <c r="X92" s="76"/>
      <c r="Y92" s="76"/>
      <c r="Z92" s="76"/>
    </row>
    <row r="93" ht="15.75" customHeight="1">
      <c r="A93" s="156"/>
      <c r="B93" s="156"/>
      <c r="C93" s="156"/>
      <c r="D93" s="156"/>
      <c r="E93" s="156"/>
      <c r="F93" s="156"/>
      <c r="G93" s="156"/>
      <c r="H93" s="76"/>
      <c r="I93" s="76"/>
      <c r="J93" s="76"/>
      <c r="K93" s="76"/>
      <c r="L93" s="76"/>
      <c r="M93" s="76"/>
      <c r="N93" s="76"/>
      <c r="O93" s="76"/>
      <c r="P93" s="76"/>
      <c r="Q93" s="76"/>
      <c r="R93" s="76"/>
      <c r="S93" s="76"/>
      <c r="T93" s="76"/>
      <c r="U93" s="76"/>
      <c r="V93" s="76"/>
      <c r="W93" s="76"/>
      <c r="X93" s="76"/>
      <c r="Y93" s="76"/>
      <c r="Z93" s="76"/>
    </row>
    <row r="94" ht="15.75" customHeight="1">
      <c r="A94" s="156"/>
      <c r="B94" s="156"/>
      <c r="C94" s="156"/>
      <c r="D94" s="156"/>
      <c r="E94" s="156"/>
      <c r="F94" s="156"/>
      <c r="G94" s="156"/>
      <c r="H94" s="76"/>
      <c r="I94" s="76"/>
      <c r="J94" s="76"/>
      <c r="K94" s="76"/>
      <c r="L94" s="76"/>
      <c r="M94" s="76"/>
      <c r="N94" s="76"/>
      <c r="O94" s="76"/>
      <c r="P94" s="76"/>
      <c r="Q94" s="76"/>
      <c r="R94" s="76"/>
      <c r="S94" s="76"/>
      <c r="T94" s="76"/>
      <c r="U94" s="76"/>
      <c r="V94" s="76"/>
      <c r="W94" s="76"/>
      <c r="X94" s="76"/>
      <c r="Y94" s="76"/>
      <c r="Z94" s="76"/>
    </row>
    <row r="95" ht="15.75" customHeight="1">
      <c r="A95" s="156"/>
      <c r="B95" s="156"/>
      <c r="C95" s="156"/>
      <c r="D95" s="156"/>
      <c r="E95" s="156"/>
      <c r="F95" s="156"/>
      <c r="G95" s="156"/>
      <c r="H95" s="76"/>
      <c r="I95" s="76"/>
      <c r="J95" s="76"/>
      <c r="K95" s="76"/>
      <c r="L95" s="76"/>
      <c r="M95" s="76"/>
      <c r="N95" s="76"/>
      <c r="O95" s="76"/>
      <c r="P95" s="76"/>
      <c r="Q95" s="76"/>
      <c r="R95" s="76"/>
      <c r="S95" s="76"/>
      <c r="T95" s="76"/>
      <c r="U95" s="76"/>
      <c r="V95" s="76"/>
      <c r="W95" s="76"/>
      <c r="X95" s="76"/>
      <c r="Y95" s="76"/>
      <c r="Z95" s="76"/>
    </row>
    <row r="96" ht="15.75" customHeight="1">
      <c r="A96" s="156"/>
      <c r="B96" s="156"/>
      <c r="C96" s="156"/>
      <c r="D96" s="156"/>
      <c r="E96" s="156"/>
      <c r="F96" s="156"/>
      <c r="G96" s="156"/>
      <c r="H96" s="76"/>
      <c r="I96" s="76"/>
      <c r="J96" s="76"/>
      <c r="K96" s="76"/>
      <c r="L96" s="76"/>
      <c r="M96" s="76"/>
      <c r="N96" s="76"/>
      <c r="O96" s="76"/>
      <c r="P96" s="76"/>
      <c r="Q96" s="76"/>
      <c r="R96" s="76"/>
      <c r="S96" s="76"/>
      <c r="T96" s="76"/>
      <c r="U96" s="76"/>
      <c r="V96" s="76"/>
      <c r="W96" s="76"/>
      <c r="X96" s="76"/>
      <c r="Y96" s="76"/>
      <c r="Z96" s="76"/>
    </row>
    <row r="97" ht="15.75" customHeight="1">
      <c r="A97" s="156"/>
      <c r="B97" s="156"/>
      <c r="C97" s="156"/>
      <c r="D97" s="156"/>
      <c r="E97" s="156"/>
      <c r="F97" s="156"/>
      <c r="G97" s="156"/>
      <c r="H97" s="76"/>
      <c r="I97" s="76"/>
      <c r="J97" s="76"/>
      <c r="K97" s="76"/>
      <c r="L97" s="76"/>
      <c r="M97" s="76"/>
      <c r="N97" s="76"/>
      <c r="O97" s="76"/>
      <c r="P97" s="76"/>
      <c r="Q97" s="76"/>
      <c r="R97" s="76"/>
      <c r="S97" s="76"/>
      <c r="T97" s="76"/>
      <c r="U97" s="76"/>
      <c r="V97" s="76"/>
      <c r="W97" s="76"/>
      <c r="X97" s="76"/>
      <c r="Y97" s="76"/>
      <c r="Z97" s="76"/>
    </row>
    <row r="98" ht="15.75" customHeight="1">
      <c r="A98" s="156"/>
      <c r="B98" s="156"/>
      <c r="C98" s="156"/>
      <c r="D98" s="156"/>
      <c r="E98" s="156"/>
      <c r="F98" s="156"/>
      <c r="G98" s="156"/>
      <c r="H98" s="76"/>
      <c r="I98" s="76"/>
      <c r="J98" s="76"/>
      <c r="K98" s="76"/>
      <c r="L98" s="76"/>
      <c r="M98" s="76"/>
      <c r="N98" s="76"/>
      <c r="O98" s="76"/>
      <c r="P98" s="76"/>
      <c r="Q98" s="76"/>
      <c r="R98" s="76"/>
      <c r="S98" s="76"/>
      <c r="T98" s="76"/>
      <c r="U98" s="76"/>
      <c r="V98" s="76"/>
      <c r="W98" s="76"/>
      <c r="X98" s="76"/>
      <c r="Y98" s="76"/>
      <c r="Z98" s="76"/>
    </row>
    <row r="99" ht="15.75" customHeight="1">
      <c r="A99" s="156"/>
      <c r="B99" s="156"/>
      <c r="C99" s="156"/>
      <c r="D99" s="156"/>
      <c r="E99" s="156"/>
      <c r="F99" s="156"/>
      <c r="G99" s="156"/>
      <c r="H99" s="76"/>
      <c r="I99" s="76"/>
      <c r="J99" s="76"/>
      <c r="K99" s="76"/>
      <c r="L99" s="76"/>
      <c r="M99" s="76"/>
      <c r="N99" s="76"/>
      <c r="O99" s="76"/>
      <c r="P99" s="76"/>
      <c r="Q99" s="76"/>
      <c r="R99" s="76"/>
      <c r="S99" s="76"/>
      <c r="T99" s="76"/>
      <c r="U99" s="76"/>
      <c r="V99" s="76"/>
      <c r="W99" s="76"/>
      <c r="X99" s="76"/>
      <c r="Y99" s="76"/>
      <c r="Z99" s="76"/>
    </row>
    <row r="100" ht="15.75" customHeight="1">
      <c r="A100" s="156"/>
      <c r="B100" s="156"/>
      <c r="C100" s="156"/>
      <c r="D100" s="156"/>
      <c r="E100" s="156"/>
      <c r="F100" s="156"/>
      <c r="G100" s="156"/>
      <c r="H100" s="76"/>
      <c r="I100" s="76"/>
      <c r="J100" s="76"/>
      <c r="K100" s="76"/>
      <c r="L100" s="76"/>
      <c r="M100" s="76"/>
      <c r="N100" s="76"/>
      <c r="O100" s="76"/>
      <c r="P100" s="76"/>
      <c r="Q100" s="76"/>
      <c r="R100" s="76"/>
      <c r="S100" s="76"/>
      <c r="T100" s="76"/>
      <c r="U100" s="76"/>
      <c r="V100" s="76"/>
      <c r="W100" s="76"/>
      <c r="X100" s="76"/>
      <c r="Y100" s="76"/>
      <c r="Z100" s="76"/>
    </row>
    <row r="101" ht="15.75" customHeight="1">
      <c r="A101" s="183"/>
      <c r="B101" s="183"/>
      <c r="C101" s="183"/>
      <c r="D101" s="183"/>
      <c r="E101" s="183"/>
      <c r="F101" s="183"/>
      <c r="G101" s="183"/>
    </row>
    <row r="102" ht="15.75" customHeight="1">
      <c r="A102" s="183"/>
      <c r="B102" s="183"/>
      <c r="C102" s="183"/>
      <c r="D102" s="183"/>
      <c r="E102" s="183"/>
      <c r="F102" s="183"/>
      <c r="G102" s="183"/>
    </row>
    <row r="103" ht="15.75" customHeight="1">
      <c r="A103" s="183"/>
      <c r="B103" s="183"/>
      <c r="C103" s="183"/>
      <c r="D103" s="183"/>
      <c r="E103" s="183"/>
      <c r="F103" s="183"/>
      <c r="G103" s="183"/>
    </row>
    <row r="104" ht="15.75" customHeight="1">
      <c r="A104" s="183"/>
      <c r="B104" s="183"/>
      <c r="C104" s="183"/>
      <c r="D104" s="183"/>
      <c r="E104" s="183"/>
      <c r="F104" s="183"/>
      <c r="G104" s="183"/>
    </row>
    <row r="105" ht="15.75" customHeight="1">
      <c r="A105" s="183"/>
      <c r="B105" s="183"/>
      <c r="C105" s="183"/>
      <c r="D105" s="183"/>
      <c r="E105" s="183"/>
      <c r="F105" s="183"/>
      <c r="G105" s="183"/>
    </row>
    <row r="106" ht="15.75" customHeight="1">
      <c r="A106" s="183"/>
      <c r="B106" s="183"/>
      <c r="C106" s="183"/>
      <c r="D106" s="183"/>
      <c r="E106" s="183"/>
      <c r="F106" s="183"/>
      <c r="G106" s="183"/>
    </row>
    <row r="107" ht="15.75" customHeight="1">
      <c r="A107" s="183"/>
      <c r="B107" s="183"/>
      <c r="C107" s="183"/>
      <c r="D107" s="183"/>
      <c r="E107" s="183"/>
      <c r="F107" s="183"/>
      <c r="G107" s="183"/>
    </row>
    <row r="108" ht="15.75" customHeight="1">
      <c r="A108" s="183"/>
      <c r="B108" s="183"/>
      <c r="C108" s="183"/>
      <c r="D108" s="183"/>
      <c r="E108" s="183"/>
      <c r="F108" s="183"/>
      <c r="G108" s="183"/>
    </row>
    <row r="109" ht="15.75" customHeight="1">
      <c r="A109" s="183"/>
      <c r="B109" s="183"/>
      <c r="C109" s="183"/>
      <c r="D109" s="183"/>
      <c r="E109" s="183"/>
      <c r="F109" s="183"/>
      <c r="G109" s="183"/>
    </row>
    <row r="110" ht="15.75" customHeight="1">
      <c r="A110" s="183"/>
      <c r="B110" s="183"/>
      <c r="C110" s="183"/>
      <c r="D110" s="183"/>
      <c r="E110" s="183"/>
      <c r="F110" s="183"/>
      <c r="G110" s="183"/>
    </row>
    <row r="111" ht="15.75" customHeight="1">
      <c r="A111" s="183"/>
      <c r="B111" s="183"/>
      <c r="C111" s="183"/>
      <c r="D111" s="183"/>
      <c r="E111" s="183"/>
      <c r="F111" s="183"/>
      <c r="G111" s="183"/>
    </row>
    <row r="112" ht="15.75" customHeight="1">
      <c r="A112" s="183"/>
      <c r="B112" s="183"/>
      <c r="C112" s="183"/>
      <c r="D112" s="183"/>
      <c r="E112" s="183"/>
      <c r="F112" s="183"/>
      <c r="G112" s="183"/>
    </row>
    <row r="113" ht="15.75" customHeight="1">
      <c r="A113" s="183"/>
      <c r="B113" s="183"/>
      <c r="C113" s="183"/>
      <c r="D113" s="183"/>
      <c r="E113" s="183"/>
      <c r="F113" s="183"/>
      <c r="G113" s="183"/>
    </row>
    <row r="114" ht="15.75" customHeight="1">
      <c r="A114" s="183"/>
      <c r="B114" s="183"/>
      <c r="C114" s="183"/>
      <c r="D114" s="183"/>
      <c r="E114" s="183"/>
      <c r="F114" s="183"/>
      <c r="G114" s="183"/>
    </row>
    <row r="115" ht="15.75" customHeight="1">
      <c r="A115" s="183"/>
      <c r="B115" s="183"/>
      <c r="C115" s="183"/>
      <c r="D115" s="183"/>
      <c r="E115" s="183"/>
      <c r="F115" s="183"/>
      <c r="G115" s="183"/>
    </row>
    <row r="116" ht="15.75" customHeight="1">
      <c r="A116" s="183"/>
      <c r="B116" s="183"/>
      <c r="C116" s="183"/>
      <c r="D116" s="183"/>
      <c r="E116" s="183"/>
      <c r="F116" s="183"/>
      <c r="G116" s="183"/>
    </row>
    <row r="117" ht="15.75" customHeight="1">
      <c r="A117" s="183"/>
      <c r="B117" s="183"/>
      <c r="C117" s="183"/>
      <c r="D117" s="183"/>
      <c r="E117" s="183"/>
      <c r="F117" s="183"/>
      <c r="G117" s="183"/>
    </row>
    <row r="118" ht="15.75" customHeight="1">
      <c r="A118" s="183"/>
      <c r="B118" s="183"/>
      <c r="C118" s="183"/>
      <c r="D118" s="183"/>
      <c r="E118" s="183"/>
      <c r="F118" s="183"/>
      <c r="G118" s="183"/>
    </row>
    <row r="119" ht="15.75" customHeight="1">
      <c r="A119" s="183"/>
      <c r="B119" s="183"/>
      <c r="C119" s="183"/>
      <c r="D119" s="183"/>
      <c r="E119" s="183"/>
      <c r="F119" s="183"/>
      <c r="G119" s="183"/>
    </row>
    <row r="120" ht="15.75" customHeight="1">
      <c r="A120" s="183"/>
      <c r="B120" s="183"/>
      <c r="C120" s="183"/>
      <c r="D120" s="183"/>
      <c r="E120" s="183"/>
      <c r="F120" s="183"/>
      <c r="G120" s="183"/>
    </row>
    <row r="121" ht="15.75" customHeight="1">
      <c r="A121" s="183"/>
      <c r="B121" s="183"/>
      <c r="C121" s="183"/>
      <c r="D121" s="183"/>
      <c r="E121" s="183"/>
      <c r="F121" s="183"/>
      <c r="G121" s="183"/>
    </row>
    <row r="122" ht="15.75" customHeight="1">
      <c r="A122" s="183"/>
      <c r="B122" s="183"/>
      <c r="C122" s="183"/>
      <c r="D122" s="183"/>
      <c r="E122" s="183"/>
      <c r="F122" s="183"/>
      <c r="G122" s="183"/>
    </row>
    <row r="123" ht="15.75" customHeight="1">
      <c r="A123" s="183"/>
      <c r="B123" s="183"/>
      <c r="C123" s="183"/>
      <c r="D123" s="183"/>
      <c r="E123" s="183"/>
      <c r="F123" s="183"/>
      <c r="G123" s="183"/>
    </row>
    <row r="124" ht="15.75" customHeight="1">
      <c r="A124" s="183"/>
      <c r="B124" s="183"/>
      <c r="C124" s="183"/>
      <c r="D124" s="183"/>
      <c r="E124" s="183"/>
      <c r="F124" s="183"/>
      <c r="G124" s="183"/>
    </row>
    <row r="125" ht="15.75" customHeight="1">
      <c r="A125" s="183"/>
      <c r="B125" s="183"/>
      <c r="C125" s="183"/>
      <c r="D125" s="183"/>
      <c r="E125" s="183"/>
      <c r="F125" s="183"/>
      <c r="G125" s="183"/>
    </row>
    <row r="126" ht="15.75" customHeight="1">
      <c r="A126" s="183"/>
      <c r="B126" s="183"/>
      <c r="C126" s="183"/>
      <c r="D126" s="183"/>
      <c r="E126" s="183"/>
      <c r="F126" s="183"/>
      <c r="G126" s="183"/>
    </row>
    <row r="127" ht="15.75" customHeight="1">
      <c r="A127" s="183"/>
      <c r="B127" s="183"/>
      <c r="C127" s="183"/>
      <c r="D127" s="183"/>
      <c r="E127" s="183"/>
      <c r="F127" s="183"/>
      <c r="G127" s="183"/>
    </row>
    <row r="128" ht="15.75" customHeight="1">
      <c r="A128" s="183"/>
      <c r="B128" s="183"/>
      <c r="C128" s="183"/>
      <c r="D128" s="183"/>
      <c r="E128" s="183"/>
      <c r="F128" s="183"/>
      <c r="G128" s="183"/>
    </row>
    <row r="129" ht="15.75" customHeight="1">
      <c r="A129" s="183"/>
      <c r="B129" s="183"/>
      <c r="C129" s="183"/>
      <c r="D129" s="183"/>
      <c r="E129" s="183"/>
      <c r="F129" s="183"/>
      <c r="G129" s="183"/>
    </row>
    <row r="130" ht="15.75" customHeight="1">
      <c r="A130" s="183"/>
      <c r="B130" s="183"/>
      <c r="C130" s="183"/>
      <c r="D130" s="183"/>
      <c r="E130" s="183"/>
      <c r="F130" s="183"/>
      <c r="G130" s="183"/>
    </row>
    <row r="131" ht="15.75" customHeight="1">
      <c r="A131" s="183"/>
      <c r="B131" s="183"/>
      <c r="C131" s="183"/>
      <c r="D131" s="183"/>
      <c r="E131" s="183"/>
      <c r="F131" s="183"/>
      <c r="G131" s="183"/>
    </row>
    <row r="132" ht="15.75" customHeight="1">
      <c r="A132" s="183"/>
      <c r="B132" s="183"/>
      <c r="C132" s="183"/>
      <c r="D132" s="183"/>
      <c r="E132" s="183"/>
      <c r="F132" s="183"/>
      <c r="G132" s="183"/>
    </row>
    <row r="133" ht="15.75" customHeight="1">
      <c r="A133" s="183"/>
      <c r="B133" s="183"/>
      <c r="C133" s="183"/>
      <c r="D133" s="183"/>
      <c r="E133" s="183"/>
      <c r="F133" s="183"/>
      <c r="G133" s="183"/>
    </row>
    <row r="134" ht="15.75" customHeight="1">
      <c r="A134" s="183"/>
      <c r="B134" s="183"/>
      <c r="C134" s="183"/>
      <c r="D134" s="183"/>
      <c r="E134" s="183"/>
      <c r="F134" s="183"/>
      <c r="G134" s="183"/>
    </row>
    <row r="135" ht="15.75" customHeight="1">
      <c r="A135" s="183"/>
      <c r="B135" s="183"/>
      <c r="C135" s="183"/>
      <c r="D135" s="183"/>
      <c r="E135" s="183"/>
      <c r="F135" s="183"/>
      <c r="G135" s="183"/>
    </row>
    <row r="136" ht="15.75" customHeight="1">
      <c r="A136" s="183"/>
      <c r="B136" s="183"/>
      <c r="C136" s="183"/>
      <c r="D136" s="183"/>
      <c r="E136" s="183"/>
      <c r="F136" s="183"/>
      <c r="G136" s="183"/>
    </row>
    <row r="137" ht="15.75" customHeight="1">
      <c r="A137" s="183"/>
      <c r="B137" s="183"/>
      <c r="C137" s="183"/>
      <c r="D137" s="183"/>
      <c r="E137" s="183"/>
      <c r="F137" s="183"/>
      <c r="G137" s="183"/>
    </row>
    <row r="138" ht="15.75" customHeight="1">
      <c r="A138" s="183"/>
      <c r="B138" s="183"/>
      <c r="C138" s="183"/>
      <c r="D138" s="183"/>
      <c r="E138" s="183"/>
      <c r="F138" s="183"/>
      <c r="G138" s="183"/>
    </row>
    <row r="139" ht="15.75" customHeight="1">
      <c r="A139" s="183"/>
      <c r="B139" s="183"/>
      <c r="C139" s="183"/>
      <c r="D139" s="183"/>
      <c r="E139" s="183"/>
      <c r="F139" s="183"/>
      <c r="G139" s="183"/>
    </row>
    <row r="140" ht="15.75" customHeight="1">
      <c r="A140" s="183"/>
      <c r="B140" s="183"/>
      <c r="C140" s="183"/>
      <c r="D140" s="183"/>
      <c r="E140" s="183"/>
      <c r="F140" s="183"/>
      <c r="G140" s="183"/>
    </row>
    <row r="141" ht="15.75" customHeight="1">
      <c r="A141" s="183"/>
      <c r="B141" s="183"/>
      <c r="C141" s="183"/>
      <c r="D141" s="183"/>
      <c r="E141" s="183"/>
      <c r="F141" s="183"/>
      <c r="G141" s="183"/>
    </row>
    <row r="142" ht="15.75" customHeight="1">
      <c r="A142" s="183"/>
      <c r="B142" s="183"/>
      <c r="C142" s="183"/>
      <c r="D142" s="183"/>
      <c r="E142" s="183"/>
      <c r="F142" s="183"/>
      <c r="G142" s="183"/>
    </row>
    <row r="143" ht="15.75" customHeight="1">
      <c r="A143" s="183"/>
      <c r="B143" s="183"/>
      <c r="C143" s="183"/>
      <c r="D143" s="183"/>
      <c r="E143" s="183"/>
      <c r="F143" s="183"/>
      <c r="G143" s="183"/>
    </row>
    <row r="144" ht="15.75" customHeight="1">
      <c r="A144" s="183"/>
      <c r="B144" s="183"/>
      <c r="C144" s="183"/>
      <c r="D144" s="183"/>
      <c r="E144" s="183"/>
      <c r="F144" s="183"/>
      <c r="G144" s="183"/>
    </row>
    <row r="145" ht="15.75" customHeight="1">
      <c r="A145" s="183"/>
      <c r="B145" s="183"/>
      <c r="C145" s="183"/>
      <c r="D145" s="183"/>
      <c r="E145" s="183"/>
      <c r="F145" s="183"/>
      <c r="G145" s="183"/>
    </row>
    <row r="146" ht="15.75" customHeight="1">
      <c r="A146" s="183"/>
      <c r="B146" s="183"/>
      <c r="C146" s="183"/>
      <c r="D146" s="183"/>
      <c r="E146" s="183"/>
      <c r="F146" s="183"/>
      <c r="G146" s="183"/>
    </row>
    <row r="147" ht="15.75" customHeight="1">
      <c r="A147" s="183"/>
      <c r="B147" s="183"/>
      <c r="C147" s="183"/>
      <c r="D147" s="183"/>
      <c r="E147" s="183"/>
      <c r="F147" s="183"/>
      <c r="G147" s="183"/>
    </row>
    <row r="148" ht="15.75" customHeight="1">
      <c r="A148" s="183"/>
      <c r="B148" s="183"/>
      <c r="C148" s="183"/>
      <c r="D148" s="183"/>
      <c r="E148" s="183"/>
      <c r="F148" s="183"/>
      <c r="G148" s="183"/>
    </row>
    <row r="149" ht="15.75" customHeight="1">
      <c r="A149" s="183"/>
      <c r="B149" s="183"/>
      <c r="C149" s="183"/>
      <c r="D149" s="183"/>
      <c r="E149" s="183"/>
      <c r="F149" s="183"/>
      <c r="G149" s="183"/>
    </row>
    <row r="150" ht="15.75" customHeight="1">
      <c r="A150" s="183"/>
      <c r="B150" s="183"/>
      <c r="C150" s="183"/>
      <c r="D150" s="183"/>
      <c r="E150" s="183"/>
      <c r="F150" s="183"/>
      <c r="G150" s="183"/>
    </row>
    <row r="151" ht="15.75" customHeight="1">
      <c r="A151" s="183"/>
      <c r="B151" s="183"/>
      <c r="C151" s="183"/>
      <c r="D151" s="183"/>
      <c r="E151" s="183"/>
      <c r="F151" s="183"/>
      <c r="G151" s="183"/>
    </row>
    <row r="152" ht="15.75" customHeight="1">
      <c r="A152" s="183"/>
      <c r="B152" s="183"/>
      <c r="C152" s="183"/>
      <c r="D152" s="183"/>
      <c r="E152" s="183"/>
      <c r="F152" s="183"/>
      <c r="G152" s="183"/>
    </row>
    <row r="153" ht="15.75" customHeight="1">
      <c r="A153" s="183"/>
      <c r="B153" s="183"/>
      <c r="C153" s="183"/>
      <c r="D153" s="183"/>
      <c r="E153" s="183"/>
      <c r="F153" s="183"/>
      <c r="G153" s="183"/>
    </row>
    <row r="154" ht="15.75" customHeight="1">
      <c r="A154" s="183"/>
      <c r="B154" s="183"/>
      <c r="C154" s="183"/>
      <c r="D154" s="183"/>
      <c r="E154" s="183"/>
      <c r="F154" s="183"/>
      <c r="G154" s="183"/>
    </row>
    <row r="155" ht="15.75" customHeight="1">
      <c r="A155" s="183"/>
      <c r="B155" s="183"/>
      <c r="C155" s="183"/>
      <c r="D155" s="183"/>
      <c r="E155" s="183"/>
      <c r="F155" s="183"/>
      <c r="G155" s="183"/>
    </row>
    <row r="156" ht="15.75" customHeight="1">
      <c r="A156" s="183"/>
      <c r="B156" s="183"/>
      <c r="C156" s="183"/>
      <c r="D156" s="183"/>
      <c r="E156" s="183"/>
      <c r="F156" s="183"/>
      <c r="G156" s="183"/>
    </row>
    <row r="157" ht="15.75" customHeight="1">
      <c r="A157" s="183"/>
      <c r="B157" s="183"/>
      <c r="C157" s="183"/>
      <c r="D157" s="183"/>
      <c r="E157" s="183"/>
      <c r="F157" s="183"/>
      <c r="G157" s="183"/>
    </row>
    <row r="158" ht="15.75" customHeight="1">
      <c r="A158" s="183"/>
      <c r="B158" s="183"/>
      <c r="C158" s="183"/>
      <c r="D158" s="183"/>
      <c r="E158" s="183"/>
      <c r="F158" s="183"/>
      <c r="G158" s="183"/>
    </row>
    <row r="159" ht="15.75" customHeight="1">
      <c r="A159" s="183"/>
      <c r="B159" s="183"/>
      <c r="C159" s="183"/>
      <c r="D159" s="183"/>
      <c r="E159" s="183"/>
      <c r="F159" s="183"/>
      <c r="G159" s="183"/>
    </row>
    <row r="160" ht="15.75" customHeight="1">
      <c r="A160" s="183"/>
      <c r="B160" s="183"/>
      <c r="C160" s="183"/>
      <c r="D160" s="183"/>
      <c r="E160" s="183"/>
      <c r="F160" s="183"/>
      <c r="G160" s="183"/>
    </row>
    <row r="161" ht="15.75" customHeight="1">
      <c r="A161" s="183"/>
      <c r="B161" s="183"/>
      <c r="C161" s="183"/>
      <c r="D161" s="183"/>
      <c r="E161" s="183"/>
      <c r="F161" s="183"/>
      <c r="G161" s="183"/>
    </row>
    <row r="162" ht="15.75" customHeight="1">
      <c r="A162" s="183"/>
      <c r="B162" s="183"/>
      <c r="C162" s="183"/>
      <c r="D162" s="183"/>
      <c r="E162" s="183"/>
      <c r="F162" s="183"/>
      <c r="G162" s="183"/>
    </row>
    <row r="163" ht="15.75" customHeight="1">
      <c r="A163" s="183"/>
      <c r="B163" s="183"/>
      <c r="C163" s="183"/>
      <c r="D163" s="183"/>
      <c r="E163" s="183"/>
      <c r="F163" s="183"/>
      <c r="G163" s="183"/>
    </row>
    <row r="164" ht="15.75" customHeight="1">
      <c r="A164" s="183"/>
      <c r="B164" s="183"/>
      <c r="C164" s="183"/>
      <c r="D164" s="183"/>
      <c r="E164" s="183"/>
      <c r="F164" s="183"/>
      <c r="G164" s="183"/>
    </row>
    <row r="165" ht="15.75" customHeight="1">
      <c r="A165" s="183"/>
      <c r="B165" s="183"/>
      <c r="C165" s="183"/>
      <c r="D165" s="183"/>
      <c r="E165" s="183"/>
      <c r="F165" s="183"/>
      <c r="G165" s="183"/>
    </row>
    <row r="166" ht="15.75" customHeight="1">
      <c r="A166" s="183"/>
      <c r="B166" s="183"/>
      <c r="C166" s="183"/>
      <c r="D166" s="183"/>
      <c r="E166" s="183"/>
      <c r="F166" s="183"/>
      <c r="G166" s="183"/>
    </row>
    <row r="167" ht="15.75" customHeight="1">
      <c r="A167" s="183"/>
      <c r="B167" s="183"/>
      <c r="C167" s="183"/>
      <c r="D167" s="183"/>
      <c r="E167" s="183"/>
      <c r="F167" s="183"/>
      <c r="G167" s="183"/>
    </row>
    <row r="168" ht="15.75" customHeight="1">
      <c r="A168" s="183"/>
      <c r="B168" s="183"/>
      <c r="C168" s="183"/>
      <c r="D168" s="183"/>
      <c r="E168" s="183"/>
      <c r="F168" s="183"/>
      <c r="G168" s="183"/>
    </row>
    <row r="169" ht="15.75" customHeight="1">
      <c r="A169" s="183"/>
      <c r="B169" s="183"/>
      <c r="C169" s="183"/>
      <c r="D169" s="183"/>
      <c r="E169" s="183"/>
      <c r="F169" s="183"/>
      <c r="G169" s="183"/>
    </row>
    <row r="170" ht="15.75" customHeight="1">
      <c r="A170" s="183"/>
      <c r="B170" s="183"/>
      <c r="C170" s="183"/>
      <c r="D170" s="183"/>
      <c r="E170" s="183"/>
      <c r="F170" s="183"/>
      <c r="G170" s="183"/>
    </row>
    <row r="171" ht="15.75" customHeight="1">
      <c r="A171" s="183"/>
      <c r="B171" s="183"/>
      <c r="C171" s="183"/>
      <c r="D171" s="183"/>
      <c r="E171" s="183"/>
      <c r="F171" s="183"/>
      <c r="G171" s="183"/>
    </row>
    <row r="172" ht="15.75" customHeight="1">
      <c r="A172" s="183"/>
      <c r="B172" s="183"/>
      <c r="C172" s="183"/>
      <c r="D172" s="183"/>
      <c r="E172" s="183"/>
      <c r="F172" s="183"/>
      <c r="G172" s="183"/>
    </row>
    <row r="173" ht="15.75" customHeight="1">
      <c r="A173" s="183"/>
      <c r="B173" s="183"/>
      <c r="C173" s="183"/>
      <c r="D173" s="183"/>
      <c r="E173" s="183"/>
      <c r="F173" s="183"/>
      <c r="G173" s="183"/>
    </row>
    <row r="174" ht="15.75" customHeight="1">
      <c r="A174" s="183"/>
      <c r="B174" s="183"/>
      <c r="C174" s="183"/>
      <c r="D174" s="183"/>
      <c r="E174" s="183"/>
      <c r="F174" s="183"/>
      <c r="G174" s="183"/>
    </row>
    <row r="175" ht="15.75" customHeight="1">
      <c r="A175" s="183"/>
      <c r="B175" s="183"/>
      <c r="C175" s="183"/>
      <c r="D175" s="183"/>
      <c r="E175" s="183"/>
      <c r="F175" s="183"/>
      <c r="G175" s="183"/>
    </row>
    <row r="176" ht="15.75" customHeight="1">
      <c r="A176" s="183"/>
      <c r="B176" s="183"/>
      <c r="C176" s="183"/>
      <c r="D176" s="183"/>
      <c r="E176" s="183"/>
      <c r="F176" s="183"/>
      <c r="G176" s="183"/>
    </row>
    <row r="177" ht="15.75" customHeight="1">
      <c r="A177" s="183"/>
      <c r="B177" s="183"/>
      <c r="C177" s="183"/>
      <c r="D177" s="183"/>
      <c r="E177" s="183"/>
      <c r="F177" s="183"/>
      <c r="G177" s="183"/>
    </row>
    <row r="178" ht="15.75" customHeight="1">
      <c r="A178" s="183"/>
      <c r="B178" s="183"/>
      <c r="C178" s="183"/>
      <c r="D178" s="183"/>
      <c r="E178" s="183"/>
      <c r="F178" s="183"/>
      <c r="G178" s="183"/>
    </row>
    <row r="179" ht="15.75" customHeight="1">
      <c r="A179" s="183"/>
      <c r="B179" s="183"/>
      <c r="C179" s="183"/>
      <c r="D179" s="183"/>
      <c r="E179" s="183"/>
      <c r="F179" s="183"/>
      <c r="G179" s="183"/>
    </row>
    <row r="180" ht="15.75" customHeight="1">
      <c r="A180" s="183"/>
      <c r="B180" s="183"/>
      <c r="C180" s="183"/>
      <c r="D180" s="183"/>
      <c r="E180" s="183"/>
      <c r="F180" s="183"/>
      <c r="G180" s="183"/>
    </row>
    <row r="181" ht="15.75" customHeight="1">
      <c r="A181" s="183"/>
      <c r="B181" s="183"/>
      <c r="C181" s="183"/>
      <c r="D181" s="183"/>
      <c r="E181" s="183"/>
      <c r="F181" s="183"/>
      <c r="G181" s="183"/>
    </row>
    <row r="182" ht="15.75" customHeight="1">
      <c r="A182" s="183"/>
      <c r="B182" s="183"/>
      <c r="C182" s="183"/>
      <c r="D182" s="183"/>
      <c r="E182" s="183"/>
      <c r="F182" s="183"/>
      <c r="G182" s="183"/>
    </row>
    <row r="183" ht="15.75" customHeight="1">
      <c r="A183" s="183"/>
      <c r="B183" s="183"/>
      <c r="C183" s="183"/>
      <c r="D183" s="183"/>
      <c r="E183" s="183"/>
      <c r="F183" s="183"/>
      <c r="G183" s="183"/>
    </row>
    <row r="184" ht="15.75" customHeight="1">
      <c r="A184" s="183"/>
      <c r="B184" s="183"/>
      <c r="C184" s="183"/>
      <c r="D184" s="183"/>
      <c r="E184" s="183"/>
      <c r="F184" s="183"/>
      <c r="G184" s="183"/>
    </row>
    <row r="185" ht="15.75" customHeight="1">
      <c r="A185" s="183"/>
      <c r="B185" s="183"/>
      <c r="C185" s="183"/>
      <c r="D185" s="183"/>
      <c r="E185" s="183"/>
      <c r="F185" s="183"/>
      <c r="G185" s="183"/>
    </row>
    <row r="186" ht="15.75" customHeight="1">
      <c r="A186" s="183"/>
      <c r="B186" s="183"/>
      <c r="C186" s="183"/>
      <c r="D186" s="183"/>
      <c r="E186" s="183"/>
      <c r="F186" s="183"/>
      <c r="G186" s="183"/>
    </row>
    <row r="187" ht="15.75" customHeight="1">
      <c r="A187" s="183"/>
      <c r="B187" s="183"/>
      <c r="C187" s="183"/>
      <c r="D187" s="183"/>
      <c r="E187" s="183"/>
      <c r="F187" s="183"/>
      <c r="G187" s="183"/>
    </row>
    <row r="188" ht="15.75" customHeight="1">
      <c r="A188" s="183"/>
      <c r="B188" s="183"/>
      <c r="C188" s="183"/>
      <c r="D188" s="183"/>
      <c r="E188" s="183"/>
      <c r="F188" s="183"/>
      <c r="G188" s="183"/>
    </row>
    <row r="189" ht="15.75" customHeight="1">
      <c r="A189" s="183"/>
      <c r="B189" s="183"/>
      <c r="C189" s="183"/>
      <c r="D189" s="183"/>
      <c r="E189" s="183"/>
      <c r="F189" s="183"/>
      <c r="G189" s="183"/>
    </row>
    <row r="190" ht="15.75" customHeight="1">
      <c r="A190" s="183"/>
      <c r="B190" s="183"/>
      <c r="C190" s="183"/>
      <c r="D190" s="183"/>
      <c r="E190" s="183"/>
      <c r="F190" s="183"/>
      <c r="G190" s="183"/>
    </row>
    <row r="191" ht="15.75" customHeight="1">
      <c r="A191" s="183"/>
      <c r="B191" s="183"/>
      <c r="C191" s="183"/>
      <c r="D191" s="183"/>
      <c r="E191" s="183"/>
      <c r="F191" s="183"/>
      <c r="G191" s="183"/>
    </row>
    <row r="192" ht="15.75" customHeight="1">
      <c r="A192" s="183"/>
      <c r="B192" s="183"/>
      <c r="C192" s="183"/>
      <c r="D192" s="183"/>
      <c r="E192" s="183"/>
      <c r="F192" s="183"/>
      <c r="G192" s="183"/>
    </row>
    <row r="193" ht="15.75" customHeight="1">
      <c r="A193" s="183"/>
      <c r="B193" s="183"/>
      <c r="C193" s="183"/>
      <c r="D193" s="183"/>
      <c r="E193" s="183"/>
      <c r="F193" s="183"/>
      <c r="G193" s="183"/>
    </row>
    <row r="194" ht="15.75" customHeight="1">
      <c r="A194" s="183"/>
      <c r="B194" s="183"/>
      <c r="C194" s="183"/>
      <c r="D194" s="183"/>
      <c r="E194" s="183"/>
      <c r="F194" s="183"/>
      <c r="G194" s="183"/>
    </row>
    <row r="195" ht="15.75" customHeight="1">
      <c r="A195" s="183"/>
      <c r="B195" s="183"/>
      <c r="C195" s="183"/>
      <c r="D195" s="183"/>
      <c r="E195" s="183"/>
      <c r="F195" s="183"/>
      <c r="G195" s="183"/>
    </row>
    <row r="196" ht="15.75" customHeight="1">
      <c r="A196" s="183"/>
      <c r="B196" s="183"/>
      <c r="C196" s="183"/>
      <c r="D196" s="183"/>
      <c r="E196" s="183"/>
      <c r="F196" s="183"/>
      <c r="G196" s="183"/>
    </row>
    <row r="197" ht="15.75" customHeight="1">
      <c r="A197" s="183"/>
      <c r="B197" s="183"/>
      <c r="C197" s="183"/>
      <c r="D197" s="183"/>
      <c r="E197" s="183"/>
      <c r="F197" s="183"/>
      <c r="G197" s="183"/>
    </row>
    <row r="198" ht="15.75" customHeight="1">
      <c r="A198" s="183"/>
      <c r="B198" s="183"/>
      <c r="C198" s="183"/>
      <c r="D198" s="183"/>
      <c r="E198" s="183"/>
      <c r="F198" s="183"/>
      <c r="G198" s="183"/>
    </row>
    <row r="199" ht="15.75" customHeight="1">
      <c r="A199" s="183"/>
      <c r="B199" s="183"/>
      <c r="C199" s="183"/>
      <c r="D199" s="183"/>
      <c r="E199" s="183"/>
      <c r="F199" s="183"/>
      <c r="G199" s="183"/>
    </row>
    <row r="200" ht="15.75" customHeight="1">
      <c r="A200" s="183"/>
      <c r="B200" s="183"/>
      <c r="C200" s="183"/>
      <c r="D200" s="183"/>
      <c r="E200" s="183"/>
      <c r="F200" s="183"/>
      <c r="G200" s="183"/>
    </row>
    <row r="201" ht="15.75" customHeight="1">
      <c r="A201" s="183"/>
      <c r="B201" s="183"/>
      <c r="C201" s="183"/>
      <c r="D201" s="183"/>
      <c r="E201" s="183"/>
      <c r="F201" s="183"/>
      <c r="G201" s="183"/>
    </row>
    <row r="202" ht="15.75" customHeight="1">
      <c r="A202" s="183"/>
      <c r="B202" s="183"/>
      <c r="C202" s="183"/>
      <c r="D202" s="183"/>
      <c r="E202" s="183"/>
      <c r="F202" s="183"/>
      <c r="G202" s="183"/>
    </row>
    <row r="203" ht="15.75" customHeight="1">
      <c r="A203" s="183"/>
      <c r="B203" s="183"/>
      <c r="C203" s="183"/>
      <c r="D203" s="183"/>
      <c r="E203" s="183"/>
      <c r="F203" s="183"/>
      <c r="G203" s="183"/>
    </row>
    <row r="204" ht="15.75" customHeight="1">
      <c r="A204" s="183"/>
      <c r="B204" s="183"/>
      <c r="C204" s="183"/>
      <c r="D204" s="183"/>
      <c r="E204" s="183"/>
      <c r="F204" s="183"/>
      <c r="G204" s="183"/>
    </row>
    <row r="205" ht="15.75" customHeight="1">
      <c r="A205" s="183"/>
      <c r="B205" s="183"/>
      <c r="C205" s="183"/>
      <c r="D205" s="183"/>
      <c r="E205" s="183"/>
      <c r="F205" s="183"/>
      <c r="G205" s="183"/>
    </row>
    <row r="206" ht="15.75" customHeight="1">
      <c r="A206" s="183"/>
      <c r="B206" s="183"/>
      <c r="C206" s="183"/>
      <c r="D206" s="183"/>
      <c r="E206" s="183"/>
      <c r="F206" s="183"/>
      <c r="G206" s="183"/>
    </row>
    <row r="207" ht="15.75" customHeight="1">
      <c r="A207" s="183"/>
      <c r="B207" s="183"/>
      <c r="C207" s="183"/>
      <c r="D207" s="183"/>
      <c r="E207" s="183"/>
      <c r="F207" s="183"/>
      <c r="G207" s="183"/>
    </row>
    <row r="208" ht="15.75" customHeight="1">
      <c r="A208" s="183"/>
      <c r="B208" s="183"/>
      <c r="C208" s="183"/>
      <c r="D208" s="183"/>
      <c r="E208" s="183"/>
      <c r="F208" s="183"/>
      <c r="G208" s="183"/>
    </row>
    <row r="209" ht="15.75" customHeight="1">
      <c r="A209" s="183"/>
      <c r="B209" s="183"/>
      <c r="C209" s="183"/>
      <c r="D209" s="183"/>
      <c r="E209" s="183"/>
      <c r="F209" s="183"/>
      <c r="G209" s="183"/>
    </row>
    <row r="210" ht="15.75" customHeight="1">
      <c r="A210" s="183"/>
      <c r="B210" s="183"/>
      <c r="C210" s="183"/>
      <c r="D210" s="183"/>
      <c r="E210" s="183"/>
      <c r="F210" s="183"/>
      <c r="G210" s="183"/>
    </row>
    <row r="211" ht="15.75" customHeight="1">
      <c r="A211" s="183"/>
      <c r="B211" s="183"/>
      <c r="C211" s="183"/>
      <c r="D211" s="183"/>
      <c r="E211" s="183"/>
      <c r="F211" s="183"/>
      <c r="G211" s="183"/>
    </row>
    <row r="212" ht="15.75" customHeight="1">
      <c r="A212" s="183"/>
      <c r="B212" s="183"/>
      <c r="C212" s="183"/>
      <c r="D212" s="183"/>
      <c r="E212" s="183"/>
      <c r="F212" s="183"/>
      <c r="G212" s="183"/>
    </row>
    <row r="213" ht="15.75" customHeight="1">
      <c r="A213" s="183"/>
      <c r="B213" s="183"/>
      <c r="C213" s="183"/>
      <c r="D213" s="183"/>
      <c r="E213" s="183"/>
      <c r="F213" s="183"/>
      <c r="G213" s="183"/>
    </row>
    <row r="214" ht="15.75" customHeight="1">
      <c r="A214" s="183"/>
      <c r="B214" s="183"/>
      <c r="C214" s="183"/>
      <c r="D214" s="183"/>
      <c r="E214" s="183"/>
      <c r="F214" s="183"/>
      <c r="G214" s="183"/>
    </row>
    <row r="215" ht="15.75" customHeight="1">
      <c r="A215" s="183"/>
      <c r="B215" s="183"/>
      <c r="C215" s="183"/>
      <c r="D215" s="183"/>
      <c r="E215" s="183"/>
      <c r="F215" s="183"/>
      <c r="G215" s="183"/>
    </row>
    <row r="216" ht="15.75" customHeight="1">
      <c r="A216" s="183"/>
      <c r="B216" s="183"/>
      <c r="C216" s="183"/>
      <c r="D216" s="183"/>
      <c r="E216" s="183"/>
      <c r="F216" s="183"/>
      <c r="G216" s="183"/>
    </row>
    <row r="217" ht="15.75" customHeight="1">
      <c r="A217" s="183"/>
      <c r="B217" s="183"/>
      <c r="C217" s="183"/>
      <c r="D217" s="183"/>
      <c r="E217" s="183"/>
      <c r="F217" s="183"/>
      <c r="G217" s="183"/>
    </row>
    <row r="218" ht="15.75" customHeight="1">
      <c r="A218" s="183"/>
      <c r="B218" s="183"/>
      <c r="C218" s="183"/>
      <c r="D218" s="183"/>
      <c r="E218" s="183"/>
      <c r="F218" s="183"/>
      <c r="G218" s="183"/>
    </row>
    <row r="219" ht="15.75" customHeight="1">
      <c r="A219" s="183"/>
      <c r="B219" s="183"/>
      <c r="C219" s="183"/>
      <c r="D219" s="183"/>
      <c r="E219" s="183"/>
      <c r="F219" s="183"/>
      <c r="G219" s="183"/>
    </row>
    <row r="220" ht="15.75" customHeight="1">
      <c r="A220" s="183"/>
      <c r="B220" s="183"/>
      <c r="C220" s="183"/>
      <c r="D220" s="183"/>
      <c r="E220" s="183"/>
      <c r="F220" s="183"/>
      <c r="G220" s="18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